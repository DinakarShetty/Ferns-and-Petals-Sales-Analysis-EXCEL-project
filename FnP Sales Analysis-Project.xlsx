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hidePivotFieldList="1"/>
  <mc:AlternateContent xmlns:mc="http://schemas.openxmlformats.org/markup-compatibility/2006">
    <mc:Choice Requires="x15">
      <x15ac:absPath xmlns:x15ac="http://schemas.microsoft.com/office/spreadsheetml/2010/11/ac" url="C:\Users\user pc\Desktop\FNP---Excel-Project-main\"/>
    </mc:Choice>
  </mc:AlternateContent>
  <xr:revisionPtr revIDLastSave="0" documentId="13_ncr:1_{8D4D5DB6-36DA-4D6C-8FB5-2BFAEBC66E25}" xr6:coauthVersionLast="47" xr6:coauthVersionMax="47" xr10:uidLastSave="{00000000-0000-0000-0000-000000000000}"/>
  <bookViews>
    <workbookView xWindow="-120" yWindow="-120" windowWidth="20730" windowHeight="11160" firstSheet="1" activeTab="5" xr2:uid="{00000000-000D-0000-FFFF-FFFF00000000}"/>
  </bookViews>
  <sheets>
    <sheet name="fnp datasets" sheetId="2" state="hidden" r:id="rId1"/>
    <sheet name="Customer" sheetId="3" r:id="rId2"/>
    <sheet name="Order"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'Customer'!$A$1:$G$101</definedName>
    <definedName name="ExternalData_3" localSheetId="2" hidden="1">Order!$A$1:$Q$1001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f6ec20a-879c-4a24-8876-0b1432edbfb5" name="fnp datasets" connection="Query - fnp datasets"/>
          <x15:modelTable id="Customer_97d537c2-60c3-4558-b6c3-17ffab1fb065" name="Customer" connection="Query - Customer"/>
          <x15:modelTable id="Order_a91c4ddf-f176-43e0-a549-4e3d5ed64373" name="Order" connection="Query - Order"/>
          <x15:modelTable id="Products_73e068a9-3cbe-4a6c-9bab-5650813fa019" name="Products" connection="Query - Products"/>
        </x15:modelTables>
        <x15:modelRelationships>
          <x15:modelRelationship fromTable="Order" fromColumn="Product_ID" toTable="Products" toColumn="Product_ID"/>
          <x15:modelRelationship fromTable="Order"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749C98-E426-4739-AD5E-706E0D64BC08}"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B1005BA8-8CC8-44C4-9C87-ACA9F20F2BAA}"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4F4BBC15-0B3E-441A-9914-5D18AF8D5FE4}"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545CD0AF-CB54-43B9-993F-CD83CD2A558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2F555B5-6111-4CA0-B6A1-00A3CD5D9568}" name="Query - Customer" description="Connection to the 'Customer' query in the workbook." type="100" refreshedVersion="8" minRefreshableVersion="5">
    <extLst>
      <ext xmlns:x15="http://schemas.microsoft.com/office/spreadsheetml/2010/11/main" uri="{DE250136-89BD-433C-8126-D09CA5730AF9}">
        <x15:connection id="a1c0b833-cbfc-4c93-b7ec-633f98148ced"/>
      </ext>
    </extLst>
  </connection>
  <connection id="6" xr16:uid="{50517458-1D51-4FE9-AF4E-F892B24959BB}" name="Query - fnp datasets" description="Connection to the 'fnp datasets' query in the workbook." type="100" refreshedVersion="8" minRefreshableVersion="5">
    <extLst>
      <ext xmlns:x15="http://schemas.microsoft.com/office/spreadsheetml/2010/11/main" uri="{DE250136-89BD-433C-8126-D09CA5730AF9}">
        <x15:connection id="b3e76343-0040-4d4a-8fbc-6d6f663541cc"/>
      </ext>
    </extLst>
  </connection>
  <connection id="7" xr16:uid="{2968FADE-41D4-4B98-9086-FE05E975ABE7}" name="Query - Order" description="Connection to the 'Order' query in the workbook." type="100" refreshedVersion="8" minRefreshableVersion="5">
    <extLst>
      <ext xmlns:x15="http://schemas.microsoft.com/office/spreadsheetml/2010/11/main" uri="{DE250136-89BD-433C-8126-D09CA5730AF9}">
        <x15:connection id="36533d7b-b1fb-4a9c-af93-d1e6cc672f53"/>
      </ext>
    </extLst>
  </connection>
  <connection id="8" xr16:uid="{CDC3C07C-3DEE-4721-B373-A9E598FCDC6F}" name="Query - Products" description="Connection to the 'Products' query in the workbook." type="100" refreshedVersion="8" minRefreshableVersion="5">
    <extLst>
      <ext xmlns:x15="http://schemas.microsoft.com/office/spreadsheetml/2010/11/main" uri="{DE250136-89BD-433C-8126-D09CA5730AF9}">
        <x15:connection id="5683d5ad-3c74-41a4-a605-36f53915a8dc"/>
      </ext>
    </extLst>
  </connection>
  <connection id="9" xr16:uid="{233D1C35-935F-4135-BC23-362542CD01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<sst xmlns="http://schemas.openxmlformats.org/spreadsheetml/2006/main" count="6098" uniqueCount="1018">
  <si>
    <t>Name</t>
  </si>
  <si>
    <t>Extension</t>
  </si>
  <si>
    <t>Date accessed</t>
  </si>
  <si>
    <t>Date modified</t>
  </si>
  <si>
    <t>Date created</t>
  </si>
  <si>
    <t>Folder Path</t>
  </si>
  <si>
    <t>customers.csv</t>
  </si>
  <si>
    <t>.csv</t>
  </si>
  <si>
    <t>C:\Users\user pc\Desktop\FNP---Excel-Project-main\fnp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</si>
  <si>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</si>
  <si>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</si>
  <si>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</si>
  <si>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</si>
  <si>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</si>
  <si>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</si>
  <si>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</si>
  <si>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</si>
  <si>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</si>
  <si>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</si>
  <si>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</si>
  <si>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</si>
  <si>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</si>
  <si>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</si>
  <si>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</si>
  <si>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</si>
  <si>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</si>
  <si>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</si>
  <si>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</si>
  <si>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</si>
  <si>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</si>
  <si>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</si>
  <si>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</si>
  <si>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</si>
  <si>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</si>
  <si>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</si>
  <si>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</si>
  <si>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</si>
  <si>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</si>
  <si>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</si>
  <si>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</si>
  <si>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</si>
  <si>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</si>
  <si>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</si>
  <si>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</si>
  <si>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</si>
  <si>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</si>
  <si>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</si>
  <si>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</si>
  <si>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</si>
  <si>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</si>
  <si>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</si>
  <si>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</si>
  <si>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</si>
  <si>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</si>
  <si>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</si>
  <si>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</si>
  <si>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</si>
  <si>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</si>
  <si>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</si>
  <si>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</si>
  <si>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</si>
  <si>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</si>
  <si>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</si>
  <si>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</si>
  <si>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</si>
  <si>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</si>
  <si>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</si>
  <si>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</si>
  <si>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</si>
  <si>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</si>
  <si>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</si>
  <si>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</si>
  <si>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</si>
  <si>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</si>
  <si>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</si>
  <si>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</si>
  <si>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</si>
  <si>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</si>
  <si>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</si>
  <si>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</si>
  <si>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</si>
  <si>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</si>
  <si>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</si>
  <si>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</si>
  <si>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</si>
  <si>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</si>
  <si>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</si>
  <si>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</si>
  <si>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</si>
  <si>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</si>
  <si>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</si>
  <si>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</si>
  <si>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</si>
  <si>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</si>
  <si>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</si>
  <si>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</si>
  <si>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</si>
  <si>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</si>
  <si>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</si>
  <si>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</si>
  <si>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</si>
  <si>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</si>
  <si>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</si>
  <si>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</si>
  <si>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</si>
  <si>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</si>
  <si>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</si>
  <si>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</si>
  <si>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</si>
  <si>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</si>
  <si>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</si>
  <si>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</si>
  <si>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</si>
  <si>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</si>
  <si>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</si>
  <si>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</si>
  <si>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</si>
  <si>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</si>
  <si>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</si>
  <si>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</si>
  <si>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</si>
  <si>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</si>
  <si>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</si>
  <si>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</si>
  <si>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</si>
  <si>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</si>
  <si>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</si>
  <si>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</si>
  <si>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</si>
  <si>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</si>
  <si>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</si>
  <si>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</si>
  <si>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</si>
  <si>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</si>
  <si>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</si>
  <si>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</si>
  <si>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</si>
  <si>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</si>
  <si>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</si>
  <si>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</si>
  <si>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</si>
  <si>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</si>
  <si>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</si>
  <si>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</si>
  <si>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</si>
  <si>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</si>
  <si>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</si>
  <si>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</si>
  <si>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</si>
  <si>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</si>
  <si>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</si>
  <si>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</si>
  <si>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</si>
  <si>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</si>
  <si>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</si>
  <si>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</si>
  <si>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</si>
  <si>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</si>
  <si>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</si>
  <si>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</si>
  <si>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</si>
  <si>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</si>
  <si>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</si>
  <si>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</si>
  <si>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</si>
  <si>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</si>
  <si>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</si>
  <si>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</si>
  <si>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</si>
  <si>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</si>
  <si>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</si>
  <si>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</si>
  <si>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</si>
  <si>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</si>
  <si>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</si>
  <si>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</si>
  <si>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</si>
  <si>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</si>
  <si>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</si>
  <si>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</si>
  <si>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</si>
  <si>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</si>
  <si>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</si>
  <si>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</si>
  <si>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</si>
  <si>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</si>
  <si>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</si>
  <si>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</si>
  <si>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</si>
  <si>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</si>
  <si>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</si>
  <si>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</si>
  <si>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</si>
  <si>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</si>
  <si>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</si>
  <si>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</si>
  <si>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</si>
  <si>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</si>
  <si>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</si>
  <si>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</si>
  <si>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</si>
  <si>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</si>
  <si>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</si>
  <si>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</si>
  <si>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</si>
  <si>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</si>
  <si>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</si>
  <si>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</si>
  <si>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</si>
  <si>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</si>
  <si>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</si>
  <si>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</si>
  <si>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</si>
  <si>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</si>
  <si>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</si>
  <si>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</si>
  <si>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</si>
  <si>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</si>
  <si>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</si>
  <si>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</si>
  <si>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</si>
  <si>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</si>
  <si>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</si>
  <si>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</si>
  <si>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</si>
  <si>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</si>
  <si>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</si>
  <si>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</si>
  <si>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</si>
  <si>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</si>
  <si>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</si>
  <si>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</si>
  <si>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</si>
  <si>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</si>
  <si>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</si>
  <si>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</si>
  <si>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</si>
  <si>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</si>
  <si>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</si>
  <si>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</si>
  <si>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</si>
  <si>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</si>
  <si>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</si>
  <si>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</si>
  <si>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</si>
  <si>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</si>
  <si>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</si>
  <si>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</si>
  <si>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</si>
  <si>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</si>
  <si>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</si>
  <si>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</si>
  <si>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</si>
  <si>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</si>
  <si>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</si>
  <si>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</si>
  <si>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</si>
  <si>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</si>
  <si>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</si>
  <si>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</si>
  <si>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</si>
  <si>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</si>
  <si>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</si>
  <si>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</si>
  <si>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</si>
  <si>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</si>
  <si>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</si>
  <si>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</si>
  <si>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</si>
  <si>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</si>
  <si>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</si>
  <si>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</si>
  <si>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</si>
  <si>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</si>
  <si>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</si>
  <si>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</si>
  <si>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</si>
  <si>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</si>
  <si>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</si>
  <si>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</si>
  <si>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</si>
  <si>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</si>
  <si>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</si>
  <si>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</si>
  <si>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</si>
  <si>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</si>
  <si>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</si>
  <si>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</si>
  <si>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</si>
  <si>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</si>
  <si>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</si>
  <si>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</si>
  <si>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</si>
  <si>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</si>
  <si>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</si>
  <si>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</si>
  <si>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</si>
  <si>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</si>
  <si>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</si>
  <si>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</si>
  <si>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</si>
  <si>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</si>
  <si>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</si>
  <si>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</si>
  <si>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</si>
  <si>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</si>
  <si>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</si>
  <si>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</si>
  <si>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</si>
  <si>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</si>
  <si>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</si>
  <si>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</si>
  <si>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</si>
  <si>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</si>
  <si>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</si>
  <si>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</si>
  <si>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</si>
  <si>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</si>
  <si>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</si>
  <si>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</si>
  <si>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</si>
  <si>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</si>
  <si>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</si>
  <si>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</si>
  <si>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</si>
  <si>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</si>
  <si>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</si>
  <si>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</si>
  <si>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</si>
  <si>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</si>
  <si>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</si>
  <si>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</si>
  <si>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</si>
  <si>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</si>
  <si>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</si>
  <si>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</si>
  <si>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</si>
  <si>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</si>
  <si>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</si>
  <si>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</si>
  <si>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</si>
  <si>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</si>
  <si>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</si>
  <si>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</si>
  <si>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</si>
  <si>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</si>
  <si>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</si>
  <si>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</si>
  <si>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</si>
  <si>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</si>
  <si>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</si>
  <si>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</si>
  <si>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</si>
  <si>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</si>
  <si>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</si>
  <si>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</si>
  <si>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</si>
  <si>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</si>
  <si>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</si>
  <si>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</si>
  <si>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</si>
  <si>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</si>
  <si>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</si>
  <si>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</si>
  <si>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</si>
  <si>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</si>
  <si>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</si>
  <si>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</si>
  <si>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</si>
  <si>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</si>
  <si>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</si>
  <si>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</si>
  <si>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</si>
  <si>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</si>
  <si>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</si>
  <si>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</si>
  <si>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</si>
  <si>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</si>
  <si>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</si>
  <si>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</si>
  <si>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</si>
  <si>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</si>
  <si>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</si>
  <si>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</si>
  <si>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</si>
  <si>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</si>
  <si>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</si>
  <si>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</si>
  <si>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</si>
  <si>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</si>
  <si>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</si>
  <si>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</si>
  <si>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</si>
  <si>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</si>
  <si>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</si>
  <si>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</si>
  <si>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</si>
  <si>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</si>
  <si>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</si>
  <si>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</si>
  <si>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</si>
  <si>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</si>
  <si>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</si>
  <si>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</si>
  <si>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</si>
  <si>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</si>
  <si>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</si>
  <si>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</si>
  <si>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</si>
  <si>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</si>
  <si>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</si>
  <si>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</si>
  <si>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</si>
  <si>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</si>
  <si>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</si>
  <si>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</si>
  <si>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</si>
  <si>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</si>
  <si>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</si>
  <si>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</si>
  <si>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</si>
  <si>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</si>
  <si>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</si>
  <si>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</si>
  <si>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</si>
  <si>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</si>
  <si>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</si>
  <si>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</si>
  <si>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</si>
  <si>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</si>
  <si>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</si>
  <si>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</si>
  <si>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</si>
  <si>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</si>
  <si>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</si>
  <si>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</si>
  <si>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</si>
  <si>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</si>
  <si>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</si>
  <si>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</si>
  <si>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</si>
  <si>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</si>
  <si>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</si>
  <si>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</si>
  <si>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</si>
  <si>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</si>
  <si>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</si>
  <si>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</si>
  <si>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</si>
  <si>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</si>
  <si>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</si>
  <si>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</si>
  <si>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</si>
  <si>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</si>
  <si>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</si>
  <si>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</si>
  <si>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</si>
  <si>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</si>
  <si>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</si>
  <si>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</si>
  <si>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</si>
  <si>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</si>
  <si>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</si>
  <si>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</si>
  <si>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</si>
  <si>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</si>
  <si>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</si>
  <si>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</si>
  <si>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</si>
  <si>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</si>
  <si>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</si>
  <si>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</si>
  <si>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</si>
  <si>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</si>
  <si>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</si>
  <si>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</si>
  <si>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</si>
  <si>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</si>
  <si>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</si>
  <si>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</si>
  <si>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</si>
  <si>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</si>
  <si>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</si>
  <si>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</si>
  <si>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</si>
  <si>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</si>
  <si>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</si>
  <si>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</si>
  <si>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</si>
  <si>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</si>
  <si>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</si>
  <si>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</si>
  <si>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</si>
  <si>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</si>
  <si>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</si>
  <si>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</si>
  <si>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</si>
  <si>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</si>
  <si>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</si>
  <si>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</si>
  <si>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</si>
  <si>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</si>
  <si>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</si>
  <si>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</si>
  <si>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</si>
  <si>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</si>
  <si>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</si>
  <si>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</si>
  <si>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</si>
  <si>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</si>
  <si>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</si>
  <si>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</si>
  <si>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</si>
  <si>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</si>
  <si>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</si>
  <si>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</si>
  <si>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</si>
  <si>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</si>
  <si>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</si>
  <si>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</si>
  <si>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</si>
  <si>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</si>
  <si>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</si>
  <si>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</si>
  <si>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</si>
  <si>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</si>
  <si>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</si>
  <si>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</si>
  <si>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</si>
  <si>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</si>
  <si>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</si>
  <si>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</si>
  <si>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</si>
  <si>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</si>
  <si>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</si>
  <si>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</si>
  <si>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</si>
  <si>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</si>
  <si>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</si>
  <si>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</si>
  <si>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</si>
  <si>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</si>
  <si>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</si>
  <si>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</si>
  <si>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</si>
  <si>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</si>
  <si>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</si>
  <si>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</si>
  <si>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</si>
  <si>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</si>
  <si>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</si>
  <si>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</si>
  <si>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</si>
  <si>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</si>
  <si>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</si>
  <si>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</si>
  <si>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</si>
  <si>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</si>
  <si>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</si>
  <si>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</si>
  <si>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</si>
  <si>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</si>
  <si>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</si>
  <si>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</si>
  <si>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</si>
  <si>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</si>
  <si>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</si>
  <si>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</si>
  <si>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</si>
  <si>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</si>
  <si>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</si>
  <si>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</si>
  <si>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</si>
  <si>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</si>
  <si>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</si>
  <si>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</si>
  <si>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</si>
  <si>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</si>
  <si>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</si>
  <si>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</si>
  <si>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</si>
  <si>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</si>
  <si>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</si>
  <si>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</si>
  <si>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</si>
  <si>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</si>
  <si>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</si>
  <si>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</si>
  <si>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</si>
  <si>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</si>
  <si>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</si>
  <si>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</si>
  <si>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</si>
  <si>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</si>
  <si>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</si>
  <si>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</si>
  <si>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</si>
  <si>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</si>
  <si>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</si>
  <si>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</si>
  <si>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</si>
  <si>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</si>
  <si>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</si>
  <si>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</si>
  <si>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</si>
  <si>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</si>
  <si>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</si>
  <si>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</si>
  <si>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</si>
  <si>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</si>
  <si>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</si>
  <si>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</si>
  <si>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</si>
  <si>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</si>
  <si>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</si>
  <si>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Hour(Order Time)</t>
  </si>
  <si>
    <t>Diff_Order_delivery</t>
  </si>
  <si>
    <t>Hour(Deliver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</si>
  <si>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</si>
  <si>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</si>
  <si>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</si>
  <si>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</si>
  <si>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</si>
  <si>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</si>
  <si>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</si>
  <si>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</si>
  <si>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</si>
  <si>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</si>
  <si>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</si>
  <si>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</si>
  <si>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</si>
  <si>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</si>
  <si>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</si>
  <si>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</si>
  <si>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</si>
  <si>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</si>
  <si>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</si>
  <si>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</si>
  <si>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</si>
  <si>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</si>
  <si>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</si>
  <si>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</si>
  <si>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</si>
  <si>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</si>
  <si>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</si>
  <si>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</si>
  <si>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</si>
  <si>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</si>
  <si>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</si>
  <si>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</si>
  <si>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</si>
  <si>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</si>
  <si>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</si>
  <si>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</si>
  <si>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</si>
  <si>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</si>
  <si>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</si>
  <si>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</si>
  <si>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</si>
  <si>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</si>
  <si>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</si>
  <si>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</si>
  <si>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</si>
  <si>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</si>
  <si>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</si>
  <si>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</si>
  <si>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</si>
  <si>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</si>
  <si>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</si>
  <si>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</si>
  <si>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</si>
  <si>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</si>
  <si>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</si>
  <si>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</si>
  <si>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</si>
  <si>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</si>
  <si>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</si>
  <si>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</si>
  <si>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</si>
  <si>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</si>
  <si>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</si>
  <si>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</si>
  <si>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</si>
  <si>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</si>
  <si>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</si>
  <si>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</si>
  <si>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</si>
  <si>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</si>
  <si>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</si>
  <si>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</si>
  <si>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</si>
  <si>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</si>
  <si>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</si>
  <si>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</si>
  <si>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</si>
  <si>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</si>
  <si>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</si>
  <si>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</si>
  <si>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</si>
  <si>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</si>
  <si>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</si>
  <si>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</si>
  <si>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</si>
  <si>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</si>
  <si>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</si>
  <si>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</si>
  <si>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</si>
  <si>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</si>
  <si>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</si>
  <si>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</si>
  <si>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</si>
  <si>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</si>
  <si>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</si>
  <si>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</si>
  <si>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</si>
  <si>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</si>
  <si>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</si>
  <si>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</si>
  <si>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</si>
  <si>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</si>
  <si>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</si>
  <si>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</si>
  <si>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</si>
  <si>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</si>
  <si>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</si>
  <si>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</si>
  <si>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</si>
  <si>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</si>
  <si>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</si>
  <si>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</si>
  <si>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</si>
  <si>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</si>
  <si>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</si>
  <si>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</si>
  <si>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</si>
  <si>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</si>
  <si>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</si>
  <si>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</si>
  <si>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</si>
  <si>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</si>
  <si>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</si>
  <si>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</si>
  <si>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</si>
  <si>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</si>
  <si>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</si>
  <si>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</si>
  <si>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</si>
  <si>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</si>
  <si>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</si>
  <si>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</si>
  <si>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</si>
  <si>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</si>
  <si>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</si>
  <si>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</si>
  <si>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</si>
  <si>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</si>
  <si>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</si>
  <si>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</si>
  <si>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</si>
  <si>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</si>
  <si>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</si>
  <si>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</si>
  <si>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</si>
  <si>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</si>
  <si>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</si>
  <si>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</si>
  <si>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</si>
  <si>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</si>
  <si>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</si>
  <si>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</si>
  <si>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</si>
  <si>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</si>
  <si>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</si>
  <si>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</si>
  <si>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</si>
  <si>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</si>
  <si>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</si>
  <si>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</si>
  <si>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</si>
  <si>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</si>
  <si>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</si>
  <si>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</si>
  <si>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</si>
  <si>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</si>
  <si>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</si>
  <si>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</si>
  <si>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</si>
  <si>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</si>
  <si>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</si>
  <si>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</si>
  <si>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</si>
  <si>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</si>
  <si>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</si>
  <si>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</si>
  <si>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</si>
  <si>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</si>
  <si>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</si>
  <si>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</si>
  <si>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</si>
  <si>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</si>
  <si>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</si>
  <si>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</si>
  <si>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</si>
  <si>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</si>
  <si>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</si>
  <si>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</si>
  <si>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</si>
  <si>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</si>
  <si>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</si>
  <si>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</si>
  <si>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</si>
  <si>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</si>
  <si>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</si>
  <si>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</si>
  <si>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</si>
  <si>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</si>
  <si>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</si>
  <si>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</si>
  <si>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</si>
  <si>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</si>
  <si>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</si>
  <si>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</si>
  <si>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</si>
  <si>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</si>
  <si>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</si>
  <si>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</si>
  <si>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</si>
  <si>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</si>
  <si>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</si>
  <si>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</si>
  <si>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</si>
  <si>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</si>
  <si>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</si>
  <si>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</si>
  <si>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</si>
  <si>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</si>
  <si>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</si>
  <si>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</si>
  <si>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</si>
  <si>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</si>
  <si>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</si>
  <si>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</si>
  <si>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</si>
  <si>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</si>
  <si>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</si>
  <si>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</si>
  <si>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</si>
  <si>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</si>
  <si>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</si>
  <si>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</si>
  <si>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</si>
  <si>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</si>
  <si>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</si>
  <si>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</si>
  <si>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</si>
  <si>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</si>
  <si>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</si>
  <si>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</si>
  <si>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</si>
  <si>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</si>
  <si>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</si>
  <si>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</si>
  <si>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</si>
  <si>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</si>
  <si>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</si>
  <si>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</si>
  <si>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</si>
  <si>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</si>
  <si>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</si>
  <si>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</si>
  <si>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</si>
  <si>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</si>
  <si>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</si>
  <si>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</si>
  <si>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</si>
  <si>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</si>
  <si>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</si>
  <si>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</si>
  <si>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</si>
  <si>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</si>
  <si>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</si>
  <si>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</si>
  <si>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</si>
  <si>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</si>
  <si>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</si>
  <si>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</si>
  <si>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</si>
  <si>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</si>
  <si>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</si>
  <si>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</si>
  <si>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</si>
  <si>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</si>
  <si>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</si>
  <si>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</si>
  <si>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</si>
  <si>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</si>
  <si>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</si>
  <si>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</si>
  <si>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</si>
  <si>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</si>
  <si>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</si>
  <si>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</si>
  <si>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</si>
  <si>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</si>
  <si>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</si>
  <si>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</si>
  <si>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</si>
  <si>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</si>
  <si>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</si>
  <si>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</si>
  <si>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</si>
  <si>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</si>
  <si>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</si>
  <si>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</si>
  <si>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</si>
  <si>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</si>
  <si>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</si>
  <si>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</si>
  <si>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</si>
  <si>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</si>
  <si>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</si>
  <si>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</si>
  <si>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</si>
  <si>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</si>
  <si>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</si>
  <si>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</si>
  <si>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</si>
  <si>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</si>
  <si>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</si>
  <si>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</si>
  <si>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</si>
  <si>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</si>
  <si>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</si>
  <si>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</si>
  <si>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</si>
  <si>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</si>
  <si>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</si>
  <si>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</si>
  <si>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</si>
  <si>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</si>
  <si>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</si>
  <si>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</si>
  <si>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</si>
  <si>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</si>
  <si>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</si>
  <si>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</si>
  <si>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</si>
  <si>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</si>
  <si>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</si>
  <si>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</si>
  <si>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</si>
  <si>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</si>
  <si>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</si>
  <si>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</si>
  <si>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</si>
  <si>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</si>
  <si>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</si>
  <si>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</si>
  <si>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</si>
  <si>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</si>
  <si>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</si>
  <si>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</si>
  <si>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</si>
  <si>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</si>
  <si>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</si>
  <si>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</si>
  <si>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</si>
  <si>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</si>
  <si>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</si>
  <si>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</si>
  <si>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</si>
  <si>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</si>
  <si>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</si>
  <si>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</si>
  <si>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</si>
  <si>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</si>
  <si>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</si>
  <si>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</si>
  <si>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</si>
  <si>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</si>
  <si>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</si>
  <si>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</si>
  <si>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</si>
  <si>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</si>
  <si>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</si>
  <si>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</si>
  <si>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</si>
  <si>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</si>
  <si>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</si>
  <si>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</si>
  <si>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</si>
  <si>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</si>
  <si>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</si>
  <si>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</si>
  <si>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</si>
  <si>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</si>
  <si>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</si>
  <si>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</si>
  <si>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</si>
  <si>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</si>
  <si>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</si>
  <si>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</si>
  <si>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</si>
  <si>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</si>
  <si>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</si>
  <si>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</si>
  <si>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</si>
  <si>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Monday</t>
  </si>
  <si>
    <t>Wednesday</t>
  </si>
  <si>
    <t>Tuesday</t>
  </si>
  <si>
    <t>Thursday</t>
  </si>
  <si>
    <t>Friday</t>
  </si>
  <si>
    <t>Sunday</t>
  </si>
  <si>
    <t>Sum of Revenue</t>
  </si>
  <si>
    <t>Day Name(Order)</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</si>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</sst>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0.00;\(\$#,##0.00\);\$#,##0.00"/>
    <numFmt numFmtId="166" formatCode="[$₹-44B]#,##0.00"/>
    <numFmt numFmtId="167" formatCode="&quot;$&quot;##\,##\,##0.00"/>
  </numFmts>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2" borderId="0" xfId="0" applyFill="1"/>
  </cellXfs>
  <cellStyles count="1">
    <cellStyle name="Normal" xfId="0" builtinId="0"/>
  </cellStyles>
  <dxfs count="30">
    <dxf>
      <numFmt numFmtId="167" formatCode="&quot;$&quot;##\,##\,##0.00"/>
    </dxf>
    <dxf>
      <numFmt numFmtId="166" formatCode="[$₹-44B]#,##0.00"/>
    </dxf>
    <dxf>
      <numFmt numFmtId="0" formatCode="General"/>
    </dxf>
    <dxf>
      <numFmt numFmtId="0" formatCode="General"/>
    </dxf>
    <dxf>
      <numFmt numFmtId="165" formatCode="\$#,##0.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microsoft.com/office/2017/06/relationships/rdRichValue" Target="richData/rdrichvalue.xml"/><Relationship Id="rId39" Type="http://schemas.openxmlformats.org/officeDocument/2006/relationships/customXml" Target="../customXml/item9.xml"/><Relationship Id="rId21" Type="http://schemas.openxmlformats.org/officeDocument/2006/relationships/connections" Target="connections.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sheetMetadata" Target="metadata.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22/10/relationships/richValueRel" Target="richData/richValueRel.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theme" Target="theme/them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Sheet1!$I$11</c:f>
              <c:strCache>
                <c:ptCount val="1"/>
                <c:pt idx="0">
                  <c:v>Total</c:v>
                </c:pt>
              </c:strCache>
            </c:strRef>
          </c:tx>
          <c:spPr>
            <a:solidFill>
              <a:schemeClr val="accent1"/>
            </a:solidFill>
            <a:ln>
              <a:noFill/>
            </a:ln>
            <a:effectLst/>
          </c:spPr>
          <c:invertIfNegative val="0"/>
          <c:cat>
            <c:strRef>
              <c:f>Sheet1!$H$12:$H$19</c:f>
              <c:strCache>
                <c:ptCount val="7"/>
                <c:pt idx="0">
                  <c:v>All Occasions</c:v>
                </c:pt>
                <c:pt idx="1">
                  <c:v>Anniversary</c:v>
                </c:pt>
                <c:pt idx="2">
                  <c:v>Birthday</c:v>
                </c:pt>
                <c:pt idx="3">
                  <c:v>Diwali</c:v>
                </c:pt>
                <c:pt idx="4">
                  <c:v>Holi</c:v>
                </c:pt>
                <c:pt idx="5">
                  <c:v>Raksha Bandhan</c:v>
                </c:pt>
                <c:pt idx="6">
                  <c:v>Valentine's Day</c:v>
                </c:pt>
              </c:strCache>
            </c:strRef>
          </c:cat>
          <c:val>
            <c:numRef>
              <c:f>Sheet1!$I$12:$I$19</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59C1-43F7-9AB0-9D7E0FDC47A6}"/>
            </c:ext>
          </c:extLst>
        </c:ser>
        <c:dLbls>
          <c:showLegendKey val="0"/>
          <c:showVal val="0"/>
          <c:showCatName val="0"/>
          <c:showSerName val="0"/>
          <c:showPercent val="0"/>
          <c:showBubbleSize val="0"/>
        </c:dLbls>
        <c:gapWidth val="219"/>
        <c:overlap val="-27"/>
        <c:axId val="1420599264"/>
        <c:axId val="1766255520"/>
      </c:barChart>
      <c:catAx>
        <c:axId val="14205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255520"/>
        <c:crosses val="autoZero"/>
        <c:auto val="1"/>
        <c:lblAlgn val="ctr"/>
        <c:lblOffset val="100"/>
        <c:noMultiLvlLbl val="0"/>
      </c:catAx>
      <c:valAx>
        <c:axId val="17662555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59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Analysis-Project.xlsx]Sheet1!PivotTable7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B8BE-4CE8-AFBB-8D2A1B3425DD}"/>
            </c:ext>
          </c:extLst>
        </c:ser>
        <c:dLbls>
          <c:showLegendKey val="0"/>
          <c:showVal val="0"/>
          <c:showCatName val="0"/>
          <c:showSerName val="0"/>
          <c:showPercent val="0"/>
          <c:showBubbleSize val="0"/>
        </c:dLbls>
        <c:gapWidth val="219"/>
        <c:overlap val="-27"/>
        <c:axId val="875613360"/>
        <c:axId val="875607904"/>
      </c:barChart>
      <c:catAx>
        <c:axId val="87561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607904"/>
        <c:crosses val="autoZero"/>
        <c:auto val="1"/>
        <c:lblAlgn val="ctr"/>
        <c:lblOffset val="100"/>
        <c:noMultiLvlLbl val="0"/>
      </c:catAx>
      <c:valAx>
        <c:axId val="8756079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61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Analysis-Project.xlsx]Sheet1!PivotTable3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F36D-4EC4-AF08-1AB0E4296B5A}"/>
            </c:ext>
          </c:extLst>
        </c:ser>
        <c:dLbls>
          <c:showLegendKey val="0"/>
          <c:showVal val="0"/>
          <c:showCatName val="0"/>
          <c:showSerName val="0"/>
          <c:showPercent val="0"/>
          <c:showBubbleSize val="0"/>
        </c:dLbls>
        <c:smooth val="0"/>
        <c:axId val="875616832"/>
        <c:axId val="875617328"/>
      </c:lineChart>
      <c:catAx>
        <c:axId val="8756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617328"/>
        <c:crosses val="autoZero"/>
        <c:auto val="1"/>
        <c:lblAlgn val="ctr"/>
        <c:lblOffset val="100"/>
        <c:noMultiLvlLbl val="0"/>
      </c:catAx>
      <c:valAx>
        <c:axId val="8756173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61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Analysis-Project.xlsx]Sheet1!PivotTable6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6C03-4AFD-893C-FEFFD1B1B2E1}"/>
            </c:ext>
          </c:extLst>
        </c:ser>
        <c:dLbls>
          <c:showLegendKey val="0"/>
          <c:showVal val="0"/>
          <c:showCatName val="0"/>
          <c:showSerName val="0"/>
          <c:showPercent val="0"/>
          <c:showBubbleSize val="0"/>
        </c:dLbls>
        <c:gapWidth val="219"/>
        <c:overlap val="-27"/>
        <c:axId val="876807264"/>
        <c:axId val="876812224"/>
      </c:barChart>
      <c:catAx>
        <c:axId val="8768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2224"/>
        <c:crosses val="autoZero"/>
        <c:auto val="1"/>
        <c:lblAlgn val="ctr"/>
        <c:lblOffset val="100"/>
        <c:noMultiLvlLbl val="0"/>
      </c:catAx>
      <c:valAx>
        <c:axId val="8768122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0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Analysis-Project.xlsx]Sheet1!PivotTable8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0FFC-431A-BD26-610E1233617D}"/>
            </c:ext>
          </c:extLst>
        </c:ser>
        <c:dLbls>
          <c:showLegendKey val="0"/>
          <c:showVal val="0"/>
          <c:showCatName val="0"/>
          <c:showSerName val="0"/>
          <c:showPercent val="0"/>
          <c:showBubbleSize val="0"/>
        </c:dLbls>
        <c:gapWidth val="219"/>
        <c:overlap val="-27"/>
        <c:axId val="876811232"/>
        <c:axId val="876816688"/>
      </c:barChart>
      <c:catAx>
        <c:axId val="87681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6688"/>
        <c:crosses val="autoZero"/>
        <c:auto val="1"/>
        <c:lblAlgn val="ctr"/>
        <c:lblOffset val="100"/>
        <c:noMultiLvlLbl val="0"/>
      </c:catAx>
      <c:valAx>
        <c:axId val="8768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Analysis-Project.xlsx]Sheet1!PivotTable12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Sheet1!$I$32</c:f>
              <c:strCache>
                <c:ptCount val="1"/>
                <c:pt idx="0">
                  <c:v>Total</c:v>
                </c:pt>
              </c:strCache>
            </c:strRef>
          </c:tx>
          <c:spPr>
            <a:ln w="28575" cap="rnd">
              <a:solidFill>
                <a:schemeClr val="accent1"/>
              </a:solidFill>
              <a:round/>
            </a:ln>
            <a:effectLst/>
          </c:spPr>
          <c:marker>
            <c:symbol val="none"/>
          </c:marker>
          <c:cat>
            <c:strRef>
              <c:f>Sheet1!$H$33:$H$57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Sheet1!$I$33:$I$57</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9EDE-4D51-A9F2-18E6DF3DC6D7}"/>
            </c:ext>
          </c:extLst>
        </c:ser>
        <c:dLbls>
          <c:showLegendKey val="0"/>
          <c:showVal val="0"/>
          <c:showCatName val="0"/>
          <c:showSerName val="0"/>
          <c:showPercent val="0"/>
          <c:showBubbleSize val="0"/>
        </c:dLbls>
        <c:smooth val="0"/>
        <c:axId val="876814208"/>
        <c:axId val="876817184"/>
      </c:lineChart>
      <c:catAx>
        <c:axId val="87681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7184"/>
        <c:crosses val="autoZero"/>
        <c:auto val="1"/>
        <c:lblAlgn val="ctr"/>
        <c:lblOffset val="100"/>
        <c:tickLblSkip val="2"/>
        <c:noMultiLvlLbl val="0"/>
      </c:catAx>
      <c:valAx>
        <c:axId val="87681718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142875</xdr:colOff>
      <xdr:row>1</xdr:row>
      <xdr:rowOff>57150</xdr:rowOff>
    </xdr:from>
    <xdr:to>
      <xdr:col>12</xdr:col>
      <xdr:colOff>142875</xdr:colOff>
      <xdr:row>14</xdr:row>
      <xdr:rowOff>104775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BC01D1D-CAB6-9371-C401-6EA836E7C06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877300" y="24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104775</xdr:rowOff>
    </xdr:from>
    <xdr:to>
      <xdr:col>5</xdr:col>
      <xdr:colOff>0</xdr:colOff>
      <xdr:row>15</xdr:row>
      <xdr:rowOff>29530</xdr:rowOff>
    </xdr:to>
    <xdr:graphicFrame macro="">
      <xdr:nvGraphicFramePr>
        <xdr:cNvPr id="2" name="Chart 1">
          <a:extLst>
            <a:ext uri="{FF2B5EF4-FFF2-40B4-BE49-F238E27FC236}">
              <a16:creationId xmlns:a16="http://schemas.microsoft.com/office/drawing/2014/main" id="{230353C0-B2E8-40B4-A1AB-EB02AD4AB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3</xdr:row>
      <xdr:rowOff>123824</xdr:rowOff>
    </xdr:from>
    <xdr:to>
      <xdr:col>10</xdr:col>
      <xdr:colOff>228600</xdr:colOff>
      <xdr:row>15</xdr:row>
      <xdr:rowOff>38099</xdr:rowOff>
    </xdr:to>
    <xdr:graphicFrame macro="">
      <xdr:nvGraphicFramePr>
        <xdr:cNvPr id="3" name="Chart 2">
          <a:extLst>
            <a:ext uri="{FF2B5EF4-FFF2-40B4-BE49-F238E27FC236}">
              <a16:creationId xmlns:a16="http://schemas.microsoft.com/office/drawing/2014/main" id="{C3AB97CF-935B-4F5F-94FD-574E2EB1F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54453</xdr:rowOff>
    </xdr:from>
    <xdr:to>
      <xdr:col>4</xdr:col>
      <xdr:colOff>590550</xdr:colOff>
      <xdr:row>26</xdr:row>
      <xdr:rowOff>112684</xdr:rowOff>
    </xdr:to>
    <xdr:graphicFrame macro="">
      <xdr:nvGraphicFramePr>
        <xdr:cNvPr id="4" name="Chart 3">
          <a:extLst>
            <a:ext uri="{FF2B5EF4-FFF2-40B4-BE49-F238E27FC236}">
              <a16:creationId xmlns:a16="http://schemas.microsoft.com/office/drawing/2014/main" id="{6348D790-C35F-47DC-A082-733E8783E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15</xdr:row>
      <xdr:rowOff>66675</xdr:rowOff>
    </xdr:from>
    <xdr:to>
      <xdr:col>10</xdr:col>
      <xdr:colOff>209550</xdr:colOff>
      <xdr:row>26</xdr:row>
      <xdr:rowOff>104776</xdr:rowOff>
    </xdr:to>
    <xdr:graphicFrame macro="">
      <xdr:nvGraphicFramePr>
        <xdr:cNvPr id="5" name="Chart 4">
          <a:extLst>
            <a:ext uri="{FF2B5EF4-FFF2-40B4-BE49-F238E27FC236}">
              <a16:creationId xmlns:a16="http://schemas.microsoft.com/office/drawing/2014/main" id="{A03EFB3B-CC05-4B1D-9106-2875EB87F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228600</xdr:colOff>
      <xdr:row>15</xdr:row>
      <xdr:rowOff>77547</xdr:rowOff>
    </xdr:from>
    <xdr:to>
      <xdr:col>17</xdr:col>
      <xdr:colOff>552449</xdr:colOff>
      <xdr:row>26</xdr:row>
      <xdr:rowOff>105585</xdr:rowOff>
    </xdr:to>
    <xdr:graphicFrame macro="">
      <xdr:nvGraphicFramePr>
        <xdr:cNvPr id="6" name="Chart 5">
          <a:extLst>
            <a:ext uri="{FF2B5EF4-FFF2-40B4-BE49-F238E27FC236}">
              <a16:creationId xmlns:a16="http://schemas.microsoft.com/office/drawing/2014/main" id="{DB24BC10-110A-40B0-84C4-7F8E52CA0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238126</xdr:colOff>
      <xdr:row>3</xdr:row>
      <xdr:rowOff>114300</xdr:rowOff>
    </xdr:from>
    <xdr:to>
      <xdr:col>17</xdr:col>
      <xdr:colOff>514350</xdr:colOff>
      <xdr:row>15</xdr:row>
      <xdr:rowOff>19528</xdr:rowOff>
    </xdr:to>
    <xdr:graphicFrame macro="">
      <xdr:nvGraphicFramePr>
        <xdr:cNvPr id="7" name="Chart 6">
          <a:extLst>
            <a:ext uri="{FF2B5EF4-FFF2-40B4-BE49-F238E27FC236}">
              <a16:creationId xmlns:a16="http://schemas.microsoft.com/office/drawing/2014/main" id="{5D1C7647-1753-46CD-8E37-8C7F8A8E1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247650</xdr:colOff>
      <xdr:row>0</xdr:row>
      <xdr:rowOff>9526</xdr:rowOff>
    </xdr:from>
    <xdr:to>
      <xdr:col>6</xdr:col>
      <xdr:colOff>428625</xdr:colOff>
      <xdr:row>3</xdr:row>
      <xdr:rowOff>66676</xdr:rowOff>
    </xdr:to>
    <xdr:sp macro="" textlink="Sheet1!E3">
      <xdr:nvSpPr>
        <xdr:cNvPr id="8" name="Rectangle: Rounded Corners 7">
          <a:extLst>
            <a:ext uri="{FF2B5EF4-FFF2-40B4-BE49-F238E27FC236}">
              <a16:creationId xmlns:a16="http://schemas.microsoft.com/office/drawing/2014/main" id="{8D234517-1753-0AB7-649F-23AD0A3A7E2A}"/>
            </a:ext>
          </a:extLst>
        </xdr:cNvPr>
        <xdr:cNvSpPr/>
      </xdr:nvSpPr>
      <xdr:spPr>
        <a:xfrm>
          <a:off x="2076450" y="9526"/>
          <a:ext cx="200977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1D9C63-14C0-4BEB-8B58-CB111D4221F9}" type="TxLink">
            <a:rPr lang="en-US" sz="1400" b="1" i="0" u="none" strike="noStrike">
              <a:solidFill>
                <a:srgbClr val="000000"/>
              </a:solidFill>
              <a:latin typeface="Calibri"/>
              <a:cs typeface="Calibri"/>
            </a:rPr>
            <a:pPr algn="ctr"/>
            <a:t>1000</a:t>
          </a:fld>
          <a:r>
            <a:rPr lang="en-US" sz="1400" b="1" i="0" u="none" strike="noStrike">
              <a:solidFill>
                <a:srgbClr val="000000"/>
              </a:solidFill>
              <a:latin typeface="Calibri"/>
              <a:cs typeface="Calibri"/>
            </a:rPr>
            <a:t> </a:t>
          </a:r>
          <a:br>
            <a:rPr lang="en-US" sz="1400" b="1" i="0" u="none" strike="noStrike">
              <a:solidFill>
                <a:srgbClr val="000000"/>
              </a:solidFill>
              <a:latin typeface="Calibri"/>
              <a:cs typeface="Calibri"/>
            </a:rPr>
          </a:br>
          <a:r>
            <a:rPr lang="en-US" sz="1400" b="1" i="0" u="none" strike="noStrike">
              <a:solidFill>
                <a:srgbClr val="000000"/>
              </a:solidFill>
              <a:latin typeface="Calibri"/>
              <a:cs typeface="Calibri"/>
            </a:rPr>
            <a:t>Total Orders</a:t>
          </a:r>
          <a:endParaRPr lang="en-US" sz="1400" b="1"/>
        </a:p>
      </xdr:txBody>
    </xdr:sp>
    <xdr:clientData/>
  </xdr:twoCellAnchor>
  <xdr:twoCellAnchor editAs="oneCell">
    <xdr:from>
      <xdr:col>17</xdr:col>
      <xdr:colOff>609599</xdr:colOff>
      <xdr:row>15</xdr:row>
      <xdr:rowOff>0</xdr:rowOff>
    </xdr:from>
    <xdr:to>
      <xdr:col>20</xdr:col>
      <xdr:colOff>352424</xdr:colOff>
      <xdr:row>26</xdr:row>
      <xdr:rowOff>180975</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D98C5E82-D36C-4A3B-A5AC-D301FE65054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972799" y="2857500"/>
              <a:ext cx="1571625"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542925</xdr:colOff>
      <xdr:row>0</xdr:row>
      <xdr:rowOff>66675</xdr:rowOff>
    </xdr:from>
    <xdr:to>
      <xdr:col>20</xdr:col>
      <xdr:colOff>333375</xdr:colOff>
      <xdr:row>7</xdr:row>
      <xdr:rowOff>104775</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60A86D05-B97A-6F80-471C-E45B1B2BD94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906125" y="66675"/>
              <a:ext cx="16192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552450</xdr:colOff>
      <xdr:row>7</xdr:row>
      <xdr:rowOff>142875</xdr:rowOff>
    </xdr:from>
    <xdr:to>
      <xdr:col>20</xdr:col>
      <xdr:colOff>352425</xdr:colOff>
      <xdr:row>14</xdr:row>
      <xdr:rowOff>114300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A9CFE5EC-12A7-2B4F-2AA0-4E588ED07B9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915650" y="1476375"/>
              <a:ext cx="1628775" cy="1304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485775</xdr:colOff>
      <xdr:row>0</xdr:row>
      <xdr:rowOff>0</xdr:rowOff>
    </xdr:from>
    <xdr:to>
      <xdr:col>10</xdr:col>
      <xdr:colOff>152400</xdr:colOff>
      <xdr:row>3</xdr:row>
      <xdr:rowOff>66675</xdr:rowOff>
    </xdr:to>
    <xdr:sp macro="" textlink="Sheet1!F3">
      <xdr:nvSpPr>
        <xdr:cNvPr id="16" name="Rectangle: Rounded Corners 15">
          <a:extLst>
            <a:ext uri="{FF2B5EF4-FFF2-40B4-BE49-F238E27FC236}">
              <a16:creationId xmlns:a16="http://schemas.microsoft.com/office/drawing/2014/main" id="{04E477E8-95DD-4729-BFFE-75400EE7DF6E}"/>
            </a:ext>
          </a:extLst>
        </xdr:cNvPr>
        <xdr:cNvSpPr/>
      </xdr:nvSpPr>
      <xdr:spPr>
        <a:xfrm>
          <a:off x="4143375" y="0"/>
          <a:ext cx="2105025"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E252DD-6EAD-4887-BDDD-3E73CBE46ABC}" type="TxLink">
            <a:rPr lang="en-US" sz="1400" b="1" i="0" u="none" strike="noStrike">
              <a:solidFill>
                <a:srgbClr val="000000"/>
              </a:solidFill>
              <a:latin typeface="Calibri"/>
              <a:cs typeface="Calibri"/>
            </a:rPr>
            <a:pPr algn="ctr"/>
            <a:t>$35,20,984.00</a:t>
          </a:fld>
          <a:r>
            <a:rPr lang="en-US" sz="1400" b="1" i="0" u="none" strike="noStrike">
              <a:solidFill>
                <a:srgbClr val="000000"/>
              </a:solidFill>
              <a:latin typeface="Calibri"/>
              <a:cs typeface="Calibri"/>
            </a:rPr>
            <a:t> </a:t>
          </a:r>
          <a:br>
            <a:rPr lang="en-US" sz="1400" b="1" i="0" u="none" strike="noStrike">
              <a:solidFill>
                <a:srgbClr val="000000"/>
              </a:solidFill>
              <a:latin typeface="Calibri"/>
              <a:cs typeface="Calibri"/>
            </a:rPr>
          </a:br>
          <a:r>
            <a:rPr lang="en-US" sz="1400" b="1" i="0" u="none" strike="noStrike">
              <a:solidFill>
                <a:srgbClr val="000000"/>
              </a:solidFill>
              <a:latin typeface="Calibri"/>
              <a:cs typeface="Calibri"/>
            </a:rPr>
            <a:t>Total Revenue</a:t>
          </a:r>
          <a:r>
            <a:rPr lang="en-US" sz="1400" b="1" i="0" u="none" strike="noStrike" baseline="0">
              <a:solidFill>
                <a:srgbClr val="000000"/>
              </a:solidFill>
              <a:latin typeface="Calibri"/>
              <a:cs typeface="Calibri"/>
            </a:rPr>
            <a:t> </a:t>
          </a:r>
          <a:endParaRPr lang="en-US" sz="1400" b="1"/>
        </a:p>
      </xdr:txBody>
    </xdr:sp>
    <xdr:clientData/>
  </xdr:twoCellAnchor>
  <xdr:twoCellAnchor>
    <xdr:from>
      <xdr:col>10</xdr:col>
      <xdr:colOff>200024</xdr:colOff>
      <xdr:row>0</xdr:row>
      <xdr:rowOff>1</xdr:rowOff>
    </xdr:from>
    <xdr:to>
      <xdr:col>13</xdr:col>
      <xdr:colOff>552449</xdr:colOff>
      <xdr:row>3</xdr:row>
      <xdr:rowOff>57150</xdr:rowOff>
    </xdr:to>
    <xdr:sp macro="" textlink="Sheet1!G3">
      <xdr:nvSpPr>
        <xdr:cNvPr id="17" name="Rectangle: Rounded Corners 16">
          <a:extLst>
            <a:ext uri="{FF2B5EF4-FFF2-40B4-BE49-F238E27FC236}">
              <a16:creationId xmlns:a16="http://schemas.microsoft.com/office/drawing/2014/main" id="{E155F72B-9390-4267-9191-61CE7C9F6BEB}"/>
            </a:ext>
          </a:extLst>
        </xdr:cNvPr>
        <xdr:cNvSpPr/>
      </xdr:nvSpPr>
      <xdr:spPr>
        <a:xfrm>
          <a:off x="6296024" y="1"/>
          <a:ext cx="2181225" cy="6286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4CC5DB-7758-4056-866C-AF1A259AB9CC}" type="TxLink">
            <a:rPr lang="en-US" sz="1400" b="1" i="0" u="none" strike="noStrike">
              <a:solidFill>
                <a:srgbClr val="000000"/>
              </a:solidFill>
              <a:latin typeface="Calibri"/>
              <a:cs typeface="Calibri"/>
            </a:rPr>
            <a:pPr algn="ctr"/>
            <a:t>5.53</a:t>
          </a:fld>
          <a:r>
            <a:rPr lang="en-US" sz="1400" b="1" i="0" u="none" strike="noStrike">
              <a:solidFill>
                <a:srgbClr val="000000"/>
              </a:solidFill>
              <a:latin typeface="Calibri"/>
              <a:cs typeface="Calibri"/>
            </a:rPr>
            <a:t> </a:t>
          </a:r>
          <a:br>
            <a:rPr lang="en-US" sz="1400" b="1" i="0" u="none" strike="noStrike">
              <a:solidFill>
                <a:srgbClr val="000000"/>
              </a:solidFill>
              <a:latin typeface="Calibri"/>
              <a:cs typeface="Calibri"/>
            </a:rPr>
          </a:br>
          <a:r>
            <a:rPr lang="en-US" sz="1400" b="1" i="0" u="none" strike="noStrike">
              <a:solidFill>
                <a:srgbClr val="000000"/>
              </a:solidFill>
              <a:latin typeface="Calibri"/>
              <a:cs typeface="Calibri"/>
            </a:rPr>
            <a:t>Order</a:t>
          </a:r>
          <a:r>
            <a:rPr lang="en-US" sz="1400" b="1" i="0" u="none" strike="noStrike" baseline="0">
              <a:solidFill>
                <a:srgbClr val="000000"/>
              </a:solidFill>
              <a:latin typeface="Calibri"/>
              <a:cs typeface="Calibri"/>
            </a:rPr>
            <a:t> - Delivery Time</a:t>
          </a:r>
          <a:endParaRPr lang="en-US" sz="1400" b="1"/>
        </a:p>
      </xdr:txBody>
    </xdr:sp>
    <xdr:clientData/>
  </xdr:twoCellAnchor>
  <xdr:twoCellAnchor>
    <xdr:from>
      <xdr:col>14</xdr:col>
      <xdr:colOff>28575</xdr:colOff>
      <xdr:row>0</xdr:row>
      <xdr:rowOff>1</xdr:rowOff>
    </xdr:from>
    <xdr:to>
      <xdr:col>17</xdr:col>
      <xdr:colOff>466725</xdr:colOff>
      <xdr:row>3</xdr:row>
      <xdr:rowOff>57150</xdr:rowOff>
    </xdr:to>
    <xdr:sp macro="" textlink="Sheet1!H3">
      <xdr:nvSpPr>
        <xdr:cNvPr id="18" name="Rectangle: Rounded Corners 17">
          <a:extLst>
            <a:ext uri="{FF2B5EF4-FFF2-40B4-BE49-F238E27FC236}">
              <a16:creationId xmlns:a16="http://schemas.microsoft.com/office/drawing/2014/main" id="{41FE0836-9D09-471F-8B85-DA00EC72B2B2}"/>
            </a:ext>
          </a:extLst>
        </xdr:cNvPr>
        <xdr:cNvSpPr/>
      </xdr:nvSpPr>
      <xdr:spPr>
        <a:xfrm>
          <a:off x="8562975" y="1"/>
          <a:ext cx="2266950" cy="6286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823F30-3A9E-4308-9674-75965E91E6C1}" type="TxLink">
            <a:rPr lang="en-US" sz="1400" b="1" i="0" u="none" strike="noStrike">
              <a:solidFill>
                <a:srgbClr val="000000"/>
              </a:solidFill>
              <a:latin typeface="Calibri"/>
              <a:cs typeface="Calibri"/>
            </a:rPr>
            <a:pPr algn="ctr"/>
            <a:t>₹3,520.98</a:t>
          </a:fld>
          <a:br>
            <a:rPr lang="en-US" sz="1400" b="1" i="0" u="none" strike="noStrike">
              <a:solidFill>
                <a:srgbClr val="000000"/>
              </a:solidFill>
              <a:latin typeface="Calibri"/>
              <a:cs typeface="Calibri"/>
            </a:rPr>
          </a:br>
          <a:r>
            <a:rPr lang="en-US" sz="1400" b="1" i="0" u="none" strike="noStrike">
              <a:solidFill>
                <a:srgbClr val="000000"/>
              </a:solidFill>
              <a:latin typeface="Calibri"/>
              <a:cs typeface="Calibri"/>
            </a:rPr>
            <a:t>Avg.</a:t>
          </a:r>
          <a:r>
            <a:rPr lang="en-US" sz="1400" b="1" i="0" u="none" strike="noStrike" baseline="0">
              <a:solidFill>
                <a:srgbClr val="000000"/>
              </a:solidFill>
              <a:latin typeface="Calibri"/>
              <a:cs typeface="Calibri"/>
            </a:rPr>
            <a:t> Customer's Spent</a:t>
          </a:r>
          <a:endParaRPr lang="en-US" sz="1400" b="1"/>
        </a:p>
      </xdr:txBody>
    </xdr:sp>
    <xdr:clientData/>
  </xdr:twoCellAnchor>
  <xdr:twoCellAnchor>
    <xdr:from>
      <xdr:col>0</xdr:col>
      <xdr:colOff>28575</xdr:colOff>
      <xdr:row>0</xdr:row>
      <xdr:rowOff>1</xdr:rowOff>
    </xdr:from>
    <xdr:to>
      <xdr:col>3</xdr:col>
      <xdr:colOff>200025</xdr:colOff>
      <xdr:row>3</xdr:row>
      <xdr:rowOff>57151</xdr:rowOff>
    </xdr:to>
    <xdr:sp macro="" textlink="">
      <xdr:nvSpPr>
        <xdr:cNvPr id="19" name="Rectangle: Rounded Corners 18">
          <a:extLst>
            <a:ext uri="{FF2B5EF4-FFF2-40B4-BE49-F238E27FC236}">
              <a16:creationId xmlns:a16="http://schemas.microsoft.com/office/drawing/2014/main" id="{A5AA0BB3-7D09-4367-8C6F-6479070A7C96}"/>
            </a:ext>
          </a:extLst>
        </xdr:cNvPr>
        <xdr:cNvSpPr/>
      </xdr:nvSpPr>
      <xdr:spPr>
        <a:xfrm>
          <a:off x="28575" y="1"/>
          <a:ext cx="2000250"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baseline="0">
              <a:solidFill>
                <a:srgbClr val="000000"/>
              </a:solidFill>
              <a:latin typeface="Calibri"/>
              <a:cs typeface="Calibri"/>
            </a:rPr>
            <a:t>            </a:t>
          </a:r>
          <a:r>
            <a:rPr lang="en-US" sz="1400" b="1" i="0" u="none" strike="noStrike">
              <a:solidFill>
                <a:srgbClr val="000000"/>
              </a:solidFill>
              <a:latin typeface="Calibri"/>
              <a:cs typeface="Calibri"/>
            </a:rPr>
            <a:t> Sales Analysis</a:t>
          </a:r>
        </a:p>
      </xdr:txBody>
    </xdr:sp>
    <xdr:clientData/>
  </xdr:twoCellAnchor>
  <xdr:twoCellAnchor editAs="oneCell">
    <xdr:from>
      <xdr:col>0</xdr:col>
      <xdr:colOff>9525</xdr:colOff>
      <xdr:row>0</xdr:row>
      <xdr:rowOff>0</xdr:rowOff>
    </xdr:from>
    <xdr:to>
      <xdr:col>1</xdr:col>
      <xdr:colOff>57150</xdr:colOff>
      <xdr:row>3</xdr:row>
      <xdr:rowOff>76200</xdr:rowOff>
    </xdr:to>
    <xdr:pic>
      <xdr:nvPicPr>
        <xdr:cNvPr id="21" name="Picture 20">
          <a:extLst>
            <a:ext uri="{FF2B5EF4-FFF2-40B4-BE49-F238E27FC236}">
              <a16:creationId xmlns:a16="http://schemas.microsoft.com/office/drawing/2014/main" id="{9C0ACE61-0C85-6D73-DBA1-E0E4577BCB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25" y="0"/>
          <a:ext cx="657225" cy="6477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333333" backgroundQuery="1" createdVersion="8" refreshedVersion="8" minRefreshableVersion="3" recordCount="0" supportSubquery="1" supportAdvancedDrill="1" xr:uid="{A0CD8849-1A8B-48BF-A299-25526DBB4391}">
  <cacheSource type="external" connectionId="9"/>
  <cacheFields count="4">
    <cacheField name="[Measures].[Sum of Revenue]" caption="Sum of Revenue" numFmtId="0" hierarchy="43" level="32767"/>
    <cacheField name="[Order].[Order Month].[Order Month]" caption="Order Month"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Products].[Occasion].[Occasion]" caption="Occasion" numFmtId="0" hierarchy="3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Deliver Time)]" caption="Hour(Deliver Time)" attribute="1" defaultMemberUniqueName="[Order].[Hour(Deliver Time)].[All]" allUniqueName="[Order].[Hour(Deliver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 Name(Order)]" caption="Day Name(Order)" attribute="1" defaultMemberUniqueName="[Order].[Day Name(Order)].[All]" allUniqueName="[Order].[Day Name(Order)].[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4027777" backgroundQuery="1" createdVersion="8" refreshedVersion="8" minRefreshableVersion="3" recordCount="0" supportSubquery="1" supportAdvancedDrill="1" xr:uid="{80AD5B57-18CB-45B1-9C0E-E54DD10280A2}">
  <cacheSource type="external" connectionId="9"/>
  <cacheFields count="3">
    <cacheField name="[Measures].[Sum of Revenue]" caption="Sum of Revenue" numFmtId="0" hierarchy="43" level="32767"/>
    <cacheField name="[Order].[Order Month].[Order Month]" caption="Order Month" numFmtId="0" hierarchy="24" level="1">
      <sharedItems count="12">
        <s v="April"/>
        <s v="August"/>
        <s v="December"/>
        <s v="February"/>
        <s v="January"/>
        <s v="July"/>
        <s v="June"/>
        <s v="March"/>
        <s v="May"/>
        <s v="November"/>
        <s v="October"/>
        <s v="September"/>
      </sharedItems>
    </cacheField>
    <cacheField name="[Order].[Day Name(Order)].[Day Name(Order)]" caption="Day Name(Order)" numFmtId="0" hierarchy="30" level="1">
      <sharedItems count="7">
        <s v="Friday"/>
        <s v="Monday"/>
        <s v="Saturday"/>
        <s v="Sunday"/>
        <s v="Thursday"/>
        <s v="Tuesday"/>
        <s v="Wednesday"/>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4953701" backgroundQuery="1" createdVersion="8" refreshedVersion="8" minRefreshableVersion="3" recordCount="0" supportSubquery="1" supportAdvancedDrill="1" xr:uid="{DFC0382C-AD67-49BD-87D2-45319F5CEEE5}">
  <cacheSource type="external" connectionId="9"/>
  <cacheFields count="3">
    <cacheField name="[Measures].[Sum of Revenue]" caption="Sum of Revenue" numFmtId="0" hierarchy="43" level="32767"/>
    <cacheField name="[Order].[Order Month].[Order Month]" caption="Order Month" numFmtId="0" hierarchy="24" level="1">
      <sharedItems count="12">
        <s v="April"/>
        <s v="August"/>
        <s v="December"/>
        <s v="February"/>
        <s v="January"/>
        <s v="July"/>
        <s v="June"/>
        <s v="March"/>
        <s v="May"/>
        <s v="November"/>
        <s v="October"/>
        <s v="September"/>
      </sharedItems>
    </cacheField>
    <cacheField name="[Order].[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 Time)].&amp;[0]"/>
            <x15:cachedUniqueName index="1" name="[Order].[Hour(Order Time)].&amp;[1]"/>
            <x15:cachedUniqueName index="2" name="[Order].[Hour(Order Time)].&amp;[2]"/>
            <x15:cachedUniqueName index="3" name="[Order].[Hour(Order Time)].&amp;[3]"/>
            <x15:cachedUniqueName index="4" name="[Order].[Hour(Order Time)].&amp;[4]"/>
            <x15:cachedUniqueName index="5" name="[Order].[Hour(Order Time)].&amp;[5]"/>
            <x15:cachedUniqueName index="6" name="[Order].[Hour(Order Time)].&amp;[6]"/>
            <x15:cachedUniqueName index="7" name="[Order].[Hour(Order Time)].&amp;[7]"/>
            <x15:cachedUniqueName index="8" name="[Order].[Hour(Order Time)].&amp;[8]"/>
            <x15:cachedUniqueName index="9" name="[Order].[Hour(Order Time)].&amp;[9]"/>
            <x15:cachedUniqueName index="10" name="[Order].[Hour(Order Time)].&amp;[10]"/>
            <x15:cachedUniqueName index="11" name="[Order].[Hour(Order Time)].&amp;[11]"/>
            <x15:cachedUniqueName index="12" name="[Order].[Hour(Order Time)].&amp;[12]"/>
            <x15:cachedUniqueName index="13" name="[Order].[Hour(Order Time)].&amp;[13]"/>
            <x15:cachedUniqueName index="14" name="[Order].[Hour(Order Time)].&amp;[14]"/>
            <x15:cachedUniqueName index="15" name="[Order].[Hour(Order Time)].&amp;[15]"/>
            <x15:cachedUniqueName index="16" name="[Order].[Hour(Order Time)].&amp;[16]"/>
            <x15:cachedUniqueName index="17" name="[Order].[Hour(Order Time)].&amp;[17]"/>
            <x15:cachedUniqueName index="18" name="[Order].[Hour(Order Time)].&amp;[18]"/>
            <x15:cachedUniqueName index="19" name="[Order].[Hour(Order Time)].&amp;[19]"/>
            <x15:cachedUniqueName index="20" name="[Order].[Hour(Order Time)].&amp;[20]"/>
            <x15:cachedUniqueName index="21" name="[Order].[Hour(Order Time)].&amp;[21]"/>
            <x15:cachedUniqueName index="22" name="[Order].[Hour(Order Time)].&amp;[22]"/>
            <x15:cachedUniqueName index="23" name="[Order].[Hour(Order Time)].&amp;[23]"/>
          </x15:cachedUniqueNames>
        </ext>
      </extLst>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2" memberValueDatatype="20" unbalanced="0">
      <fieldsUsage count="2">
        <fieldUsage x="-1"/>
        <fieldUsage x="2"/>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5879632" backgroundQuery="1" createdVersion="8" refreshedVersion="8" minRefreshableVersion="3" recordCount="0" supportSubquery="1" supportAdvancedDrill="1" xr:uid="{650E9492-0C75-4AD7-895D-BFD4C965B0B1}">
  <cacheSource type="external" connectionId="9"/>
  <cacheFields count="2">
    <cacheField name="[Measures].[Sum of Revenue]" caption="Sum of Revenue" numFmtId="0" hierarchy="43" level="32767"/>
    <cacheField name="[Order].[Order Month].[Order Month]" caption="Order Month" numFmtId="0" hierarchy="24" level="1">
      <sharedItems count="12">
        <s v="April"/>
        <s v="August"/>
        <s v="December"/>
        <s v="February"/>
        <s v="January"/>
        <s v="July"/>
        <s v="June"/>
        <s v="March"/>
        <s v="May"/>
        <s v="November"/>
        <s v="October"/>
        <s v="September"/>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6342594" backgroundQuery="1" createdVersion="8" refreshedVersion="8" minRefreshableVersion="3" recordCount="0" supportSubquery="1" supportAdvancedDrill="1" xr:uid="{80002257-D683-41F8-B484-859D06F63A33}">
  <cacheSource type="external" connectionId="9"/>
  <cacheFields count="4">
    <cacheField name="[Measures].[Sum of Revenue]" caption="Sum of Revenue" numFmtId="0" hierarchy="43" level="32767"/>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7615741" backgroundQuery="1" createdVersion="8" refreshedVersion="8" minRefreshableVersion="3" recordCount="0" supportSubquery="1" supportAdvancedDrill="1" xr:uid="{6EC82586-9CE0-4933-AF63-91B29979E64B}">
  <cacheSource type="external" connectionId="9"/>
  <cacheFields count="3">
    <cacheField name="[Measures].[Sum of Revenue]" caption="Sum of Revenue" numFmtId="0" hierarchy="43" level="32767"/>
    <cacheField name="[Order].[Order Month].[Order Month]" caption="Order 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8773149" backgroundQuery="1" createdVersion="8" refreshedVersion="8" minRefreshableVersion="3" recordCount="0" supportSubquery="1" supportAdvancedDrill="1" xr:uid="{AAF09D96-EA68-4FCB-94FF-56C60C032EFE}">
  <cacheSource type="external" connectionId="9"/>
  <cacheFields count="3">
    <cacheField name="[Order].[Order Month].[Order Month]" caption="Order Month"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7133935185" backgroundQuery="1" createdVersion="8" refreshedVersion="8" minRefreshableVersion="3" recordCount="0" supportSubquery="1" supportAdvancedDrill="1" xr:uid="{1BADD970-AC4F-425A-86D4-3747CEA2840B}">
  <cacheSource type="external" connectionId="9"/>
  <cacheFields count="3">
    <cacheField name="[Measures].[Sum of Revenue]" caption="Sum of Revenue" numFmtId="0" hierarchy="43" level="32767"/>
    <cacheField name="[Order].[Order Month].[Order Month]" caption="Order Month"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unt="7">
        <s v="All Occasions"/>
        <s v="Anniversary"/>
        <s v="Birthday"/>
        <s v="Diwali"/>
        <s v="Holi"/>
        <s v="Raksha Bandhan"/>
        <s v="Valentine's Day"/>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Order Month]" caption="Order Month" attribute="1" defaultMemberUniqueName="[Order].[Order Month].[All]" allUniqueName="[Order].[Order Month].[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 caption="Customer"/>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02379282404" backgroundQuery="1" createdVersion="3" refreshedVersion="8" minRefreshableVersion="3" recordCount="0" supportSubquery="1" supportAdvancedDrill="1" xr:uid="{DD58FC57-3FB1-430C-B0CD-A3DDC4D3FDB8}">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0404615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5988.723947569444" backgroundQuery="1" createdVersion="3" refreshedVersion="8" minRefreshableVersion="3" recordCount="0" supportSubquery="1" supportAdvancedDrill="1" xr:uid="{76E5CC47-661D-457C-9673-AC41D145789B}">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 Time)]" caption="Hour(Deliver Time)" attribute="1" defaultMemberUniqueName="[Order].[Hour(Deliver Time)].[All]" allUniqueName="[Order].[Hour(Deliver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caption="Day Name(Order)" attribute="1" defaultMemberUniqueName="[Order].[Day Name(Order)].[All]" allUniqueName="[Order].[Day Name(Order)].[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6860525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050A5-3372-44D6-A0AF-E40CBD01F38C}" name="PivotTable6" cacheId="5" applyNumberFormats="0" applyBorderFormats="0" applyFontFormats="0" applyPatternFormats="0" applyAlignmentFormats="0" applyWidthHeightFormats="1" dataCaption="Values" tag="712d051c-9619-4ab2-b7c2-40e7dd88af05" updatedVersion="8" minRefreshableVersion="5" useAutoFormatting="1" subtotalHiddenItems="1" itemPrintTitles="1" createdVersion="8" indent="0" outline="1" outlineData="1" multipleFieldFilters="0" chartFormat="6">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FEF19-C5B2-41D7-BFDD-C35C2DED469E}" name="PivotTable12" cacheId="2" applyNumberFormats="0" applyBorderFormats="0" applyFontFormats="0" applyPatternFormats="0" applyAlignmentFormats="0" applyWidthHeightFormats="1" dataCaption="Values" tag="a54d3bc8-e45a-4aec-bb7f-3378bab70355" updatedVersion="8" minRefreshableVersion="5" useAutoFormatting="1" itemPrintTitles="1" createdVersion="8" indent="0" outline="1" outlineData="1" multipleFieldFilters="0" chartFormat="9">
  <location ref="H32:I5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3A78E7-420C-4291-B86F-AA7A3518BA9D}" name="PivotTable11" cacheId="1" applyNumberFormats="0" applyBorderFormats="0" applyFontFormats="0" applyPatternFormats="0" applyAlignmentFormats="0" applyWidthHeightFormats="1" dataCaption="Values" tag="c7d4ef18-6472-4667-84a5-8c22ad25341d" updatedVersion="8" minRefreshableVersion="5" useAutoFormatting="1" itemPrintTitles="1" createdVersion="8" indent="0" outline="1" outlineData="1" multipleFieldFilters="0" chartFormat="5">
  <location ref="H21:I2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6ACA3-FE5B-4DDF-AB1C-6AB506810BD0}" name="PivotTable5" cacheId="4" applyNumberFormats="0" applyBorderFormats="0" applyFontFormats="0" applyPatternFormats="0" applyAlignmentFormats="0" applyWidthHeightFormats="1" dataCaption="Values" tag="c28c813a-6aba-47c5-a5b6-6a84d03fd6e0" updatedVersion="8" minRefreshableVersion="5" useAutoFormatting="1" subtotalHiddenItems="1" itemPrintTitles="1" createdVersion="8" indent="0" outline="1" outlineData="1" multipleFieldFilters="0">
  <location ref="E2:H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_ID" fld="3" subtotal="count" baseField="0" baseItem="1"/>
    <dataField name="Sum of Revenue" fld="0" baseField="0" baseItem="0" numFmtId="167"/>
    <dataField name="Average of Diff_Order_delivery" fld="1" subtotal="average" baseField="0" baseItem="1"/>
    <dataField name="Average of Customer Spending" fld="2" subtotal="average" baseField="0" baseItem="2" numFmtId="166"/>
  </dataFields>
  <formats count="5">
    <format dxfId="4">
      <pivotArea outline="0" collapsedLevelsAreSubtotals="1" fieldPosition="0"/>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1"/>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C1C593-FBAC-4426-8264-8243BA80A6BD}" name="PivotTable9" cacheId="7" applyNumberFormats="0" applyBorderFormats="0" applyFontFormats="0" applyPatternFormats="0" applyAlignmentFormats="0" applyWidthHeightFormats="1" dataCaption="Values" tag="402e7353-4b5f-4a54-b6b4-d31c853c0ab7" updatedVersion="8" minRefreshableVersion="5" useAutoFormatting="1" itemPrintTitles="1" createdVersion="8" indent="0" outline="1" outlineData="1" multipleFieldFilters="0" chartFormat="4">
  <location ref="H11:I1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02D92-ADBD-498F-9973-7AA4BD853652}" name="PivotTable3" cacheId="3" applyNumberFormats="0" applyBorderFormats="0" applyFontFormats="0" applyPatternFormats="0" applyAlignmentFormats="0" applyWidthHeightFormats="1" dataCaption="Values" tag="cb0d5e5e-8ffc-44c5-9cc5-d53e17036af3" updatedVersion="8" minRefreshableVersion="5" useAutoFormatting="1" itemPrintTitles="1" createdVersion="8" indent="0" outline="1" outlineData="1" multipleFieldFilters="0" chartFormat="6">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100C6A-D8D3-49C8-8D7A-2FC587312F1E}" name="PivotTable8" cacheId="6" applyNumberFormats="0" applyBorderFormats="0" applyFontFormats="0" applyPatternFormats="0" applyAlignmentFormats="0" applyWidthHeightFormats="1" dataCaption="Values" tag="6e9f6c0a-9097-41c2-8aa4-fc8971d41c97" updatedVersion="8" minRefreshableVersion="5" useAutoFormatting="1" itemPrintTitles="1" createdVersion="8" indent="0" outline="1" outlineData="1" multipleFieldFilters="0" chartFormat="5">
  <location ref="E14:F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8C5A9D-8D24-44CC-9AB5-052DF7BF2F5A}" name="PivotTable7" cacheId="0" applyNumberFormats="0" applyBorderFormats="0" applyFontFormats="0" applyPatternFormats="0" applyAlignmentFormats="0" applyWidthHeightFormats="1" dataCaption="Values" tag="2098a1be-4768-4720-9355-017201d31b10" updatedVersion="8" minRefreshableVersion="5" useAutoFormatting="1" itemPrintTitles="1" createdVersion="8" indent="0" outline="1" outlineData="1" multipleFieldFilters="0" chartFormat="5">
  <location ref="B17:C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3026A68-10FC-47FB-B695-D112E776AE5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7FDBCF6-55AF-47C5-9842-D073FA451FE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AFFD235-DB3B-48E4-A534-71D76FF8B95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Order Time)" tableColumnId="12"/>
      <queryTableField id="13" name="Diff_Order_delivery" tableColumnId="13"/>
      <queryTableField id="14" name="Hour(Deliver Time)" tableColumnId="14"/>
      <queryTableField id="15" name="Price (INR)" tableColumnId="15"/>
      <queryTableField id="16" name="Revenue" tableColumnId="16"/>
      <queryTableField id="18" name="Day Name(Order)" tableColumnId="18"/>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A22755B-840C-468E-BFFB-7CC430857E2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B33FFD5-7C3C-4DE4-A1EA-1CA59F1D550A}" sourceName="[Products].[Occasion]">
  <pivotTables>
    <pivotTable tabId="1" name="PivotTable6"/>
    <pivotTable tabId="1" name="PivotTable11"/>
    <pivotTable tabId="1" name="PivotTable12"/>
    <pivotTable tabId="1" name="PivotTable3"/>
    <pivotTable tabId="1" name="PivotTable5"/>
    <pivotTable tabId="1" name="PivotTable8"/>
    <pivotTable tabId="1" name="PivotTable9"/>
  </pivotTables>
  <data>
    <olap pivotCacheId="1904046154">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6E87ED4-E8EE-47E6-8C67-AF6FBE0176F7}"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5566B61-129C-40F7-8874-6FB1D2136257}"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EA9652-DF50-43C4-AE62-ADB5015744C2}" name="fnp_datasets" displayName="fnp_datasets" ref="A1:F4" tableType="queryTable" totalsRowShown="0">
  <autoFilter ref="A1:F4" xr:uid="{1CEA9652-DF50-43C4-AE62-ADB5015744C2}"/>
  <tableColumns count="6">
    <tableColumn id="1" xr3:uid="{4F27EF8E-E58D-41D0-B830-59D2DC7A8571}" uniqueName="1" name="Name" queryTableFieldId="1" dataDxfId="29"/>
    <tableColumn id="2" xr3:uid="{67C1B531-ADED-4754-8C6F-3A26F598617B}" uniqueName="2" name="Extension" queryTableFieldId="2" dataDxfId="28"/>
    <tableColumn id="3" xr3:uid="{A816747B-2204-4E2D-85F9-948E340DACED}" uniqueName="3" name="Date accessed" queryTableFieldId="3" dataDxfId="27"/>
    <tableColumn id="4" xr3:uid="{D0DB7A37-ECAB-41E6-AE7C-33BA37A118F3}" uniqueName="4" name="Date modified" queryTableFieldId="4" dataDxfId="26"/>
    <tableColumn id="5" xr3:uid="{63AFFE1B-EACA-4588-8C90-61F133EAC142}" uniqueName="5" name="Date created" queryTableFieldId="5" dataDxfId="25"/>
    <tableColumn id="6" xr3:uid="{21017024-2B68-402C-979C-4D2BA9D1A4C0}"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399F8-032A-4D3D-BCD2-68AAAD096758}" name="Customer" displayName="Customer" ref="A1:G101" tableType="queryTable" totalsRowShown="0">
  <autoFilter ref="A1:G101" xr:uid="{DA7399F8-032A-4D3D-BCD2-68AAAD096758}"/>
  <tableColumns count="7">
    <tableColumn id="1" xr3:uid="{329AF780-AE7A-4633-A9BF-58FE6686DD86}" uniqueName="1" name="Customer_ID" queryTableFieldId="1" dataDxfId="23"/>
    <tableColumn id="2" xr3:uid="{2B678F0C-F2C9-4D08-965D-8F1A1860D2B0}" uniqueName="2" name="Name" queryTableFieldId="2" dataDxfId="22"/>
    <tableColumn id="3" xr3:uid="{2F66C2BB-4312-466C-AB87-AE27168D8BF2}" uniqueName="3" name="City" queryTableFieldId="3" dataDxfId="21"/>
    <tableColumn id="4" xr3:uid="{9DA4C782-0EBA-4F89-A437-94CE10DD0DC0}" uniqueName="4" name="Contact_Number" queryTableFieldId="4" dataDxfId="20"/>
    <tableColumn id="5" xr3:uid="{6B48DB04-0CF2-4E93-8D5F-390DA12CCD0E}" uniqueName="5" name="Email" queryTableFieldId="5" dataDxfId="19"/>
    <tableColumn id="6" xr3:uid="{7DBC1666-5D25-4E9F-A19C-1B4B89A86195}" uniqueName="6" name="Gender" queryTableFieldId="6" dataDxfId="18"/>
    <tableColumn id="7" xr3:uid="{90964DB5-A19F-4336-A236-6CA17C71659E}"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DE243F-04F0-43C5-AF85-080C8FE6CFF2}" name="Order" displayName="Order" ref="A1:Q1001" tableType="queryTable" totalsRowShown="0">
  <autoFilter ref="A1:Q1001" xr:uid="{81DE243F-04F0-43C5-AF85-080C8FE6CFF2}"/>
  <tableColumns count="17">
    <tableColumn id="1" xr3:uid="{0D72E828-8A3C-4998-BBA9-30B2F592B6CF}" uniqueName="1" name="Order_ID" queryTableFieldId="1"/>
    <tableColumn id="2" xr3:uid="{CD50CDD8-DD07-49C2-AFBE-7BD1AF555024}" uniqueName="2" name="Customer_ID" queryTableFieldId="2" dataDxfId="16"/>
    <tableColumn id="3" xr3:uid="{1A327713-38EA-469E-BE1E-64600CF4E194}" uniqueName="3" name="Product_ID" queryTableFieldId="3"/>
    <tableColumn id="4" xr3:uid="{5E6C9458-13A1-41DB-9F52-E9F9B80B97FA}" uniqueName="4" name="Quantity" queryTableFieldId="4"/>
    <tableColumn id="5" xr3:uid="{8DC957A9-15F6-42A0-9F1B-1A750E8C3B9C}" uniqueName="5" name="Order_Date" queryTableFieldId="5" dataDxfId="15"/>
    <tableColumn id="6" xr3:uid="{FA8451B4-8C4E-40C3-97E2-6E66B57D92CB}" uniqueName="6" name="Order_Time" queryTableFieldId="6" dataDxfId="14"/>
    <tableColumn id="7" xr3:uid="{F3E8C953-EB87-4DD0-8FD4-194FF03D2DA0}" uniqueName="7" name="Delivery_Date" queryTableFieldId="7" dataDxfId="13"/>
    <tableColumn id="8" xr3:uid="{0A577482-6C1D-4530-9919-3F7357A7B108}" uniqueName="8" name="Delivery_Time" queryTableFieldId="8" dataDxfId="12"/>
    <tableColumn id="9" xr3:uid="{86EBF549-EB60-476E-AFC2-FB710F8F11C4}" uniqueName="9" name="Location" queryTableFieldId="9" dataDxfId="11"/>
    <tableColumn id="10" xr3:uid="{9BBA7DCB-A467-4927-936A-63CCD564D020}" uniqueName="10" name="Occasion" queryTableFieldId="10" dataDxfId="10"/>
    <tableColumn id="11" xr3:uid="{9F8AB447-E557-4842-968C-317B48A7D596}" uniqueName="11" name="Order Month" queryTableFieldId="11" dataDxfId="9"/>
    <tableColumn id="12" xr3:uid="{42565119-9A29-474C-A600-FC657F7DBC08}" uniqueName="12" name="Hour(Order Time)" queryTableFieldId="12"/>
    <tableColumn id="13" xr3:uid="{BE940B25-59CD-4E85-B699-8133FADCD7C7}" uniqueName="13" name="Diff_Order_delivery" queryTableFieldId="13"/>
    <tableColumn id="14" xr3:uid="{7497CC3F-633D-4515-8A46-100A26C70E07}" uniqueName="14" name="Hour(Deliver Time)" queryTableFieldId="14"/>
    <tableColumn id="15" xr3:uid="{35654BF6-9C2C-4AD0-8068-CAB9D1498E78}" uniqueName="15" name="Price (INR)" queryTableFieldId="15"/>
    <tableColumn id="16" xr3:uid="{56F499F0-DB75-44B7-8A92-5D7957710147}" uniqueName="16" name="Revenue" queryTableFieldId="16"/>
    <tableColumn id="18" xr3:uid="{88F761F5-C02D-40C8-A031-2ED86420C729}" uniqueName="18" name="Day Name(Order)"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9D0C1B-FBF7-4AFD-915D-51C8350478C5}" name="Products" displayName="Products" ref="A1:F71" tableType="queryTable" totalsRowShown="0">
  <autoFilter ref="A1:F71" xr:uid="{469D0C1B-FBF7-4AFD-915D-51C8350478C5}"/>
  <tableColumns count="6">
    <tableColumn id="1" xr3:uid="{A804E184-590A-4A21-9324-1670653F8888}" uniqueName="1" name="Product_ID" queryTableFieldId="1"/>
    <tableColumn id="2" xr3:uid="{CDD7EFFD-AAA2-4080-AE8A-AAB38ACC86AE}" uniqueName="2" name="Product_Name" queryTableFieldId="2" dataDxfId="8"/>
    <tableColumn id="3" xr3:uid="{3D3C814F-BB1C-4D17-AA8B-A0AAAD9E246A}" uniqueName="3" name="Category" queryTableFieldId="3" dataDxfId="7"/>
    <tableColumn id="4" xr3:uid="{5487EC73-B16F-4725-9763-0DFAB24CA8D6}" uniqueName="4" name="Price (INR)" queryTableFieldId="4"/>
    <tableColumn id="5" xr3:uid="{FACE387B-8427-4C51-AFB7-B9F1ADDA90EA}" uniqueName="5" name="Occasion" queryTableFieldId="5" dataDxfId="6"/>
    <tableColumn id="6" xr3:uid="{C6BFE7AC-0FF4-4221-A3F2-F37AFE328078}" uniqueName="6" name="Description" queryTableFieldId="6"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CF3A370-BBC7-4493-9B63-2FB5EBC0AE90}" sourceName="[Order].[Order_Date]">
  <pivotTables>
    <pivotTable tabId="1" name="PivotTable7"/>
    <pivotTable tabId="1" name="PivotTable11"/>
    <pivotTable tabId="1" name="PivotTable12"/>
    <pivotTable tabId="1" name="PivotTable3"/>
    <pivotTable tabId="1" name="PivotTable5"/>
    <pivotTable tabId="1" name="PivotTable6"/>
    <pivotTable tabId="1" name="PivotTable8"/>
    <pivotTable tabId="1" name="PivotTable9"/>
  </pivotTables>
  <state minimalRefreshVersion="6" lastRefreshVersion="6" pivotCacheId="68605259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01FA0F1-994B-4276-9C01-61AF77BA48AA}" sourceName="[Order].[Delivery_Date]">
  <pivotTables>
    <pivotTable tabId="1" name="PivotTable7"/>
    <pivotTable tabId="1" name="PivotTable11"/>
    <pivotTable tabId="1" name="PivotTable12"/>
    <pivotTable tabId="1" name="PivotTable3"/>
    <pivotTable tabId="1" name="PivotTable5"/>
    <pivotTable tabId="1" name="PivotTable6"/>
    <pivotTable tabId="1" name="PivotTable8"/>
    <pivotTable tabId="1" name="PivotTable9"/>
  </pivotTables>
  <state minimalRefreshVersion="6" lastRefreshVersion="6" pivotCacheId="68605259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C00D384-822F-46A5-BF51-5B29DE0F6F55}" cache="Timeline_Order_Date" caption="Order_Date" level="2" selectionLevel="1" scrollPosition="2023-06-01T00:00:00"/>
  <timeline name="Delivery_Date" xr10:uid="{0DBD1F24-49A6-4C90-A8E2-11EC35AEEDDC}" cache="Timeline_Delivery_Date" caption="Delivery_Date" level="2" selectionLevel="2" scrollPosition="2023-01-2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4399A-B1F8-491D-B408-9CB6A4A161DF}">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85546875" bestFit="1" customWidth="1"/>
    <col min="6" max="6" width="61.28515625" bestFit="1" customWidth="1"/>
  </cols>
  <sheetData>
    <row r="1" spans="1:6" x14ac:dyDescent="0.25">
      <c r="A1" t="s">
        <v>0</v>
      </c>
      <c r="B1" t="s">
        <v>1</v>
      </c>
      <c r="C1" t="s">
        <v>2</v>
      </c>
      <c r="D1" t="s">
        <v>3</v>
      </c>
      <c r="E1" t="s">
        <v>4</v>
      </c>
      <c r="F1" t="s">
        <v>5</v>
      </c>
    </row>
    <row r="2" spans="1:6" x14ac:dyDescent="0.25">
      <c r="A2" t="s">
        <v>6</v>
      </c>
      <c r="B2" t="s">
        <v>7</v>
      </c>
      <c r="C2" s="1">
        <v>45988.654438927471</v>
      </c>
      <c r="D2" s="1">
        <v>45589.153009259258</v>
      </c>
      <c r="E2" s="1">
        <v>45988.412284722224</v>
      </c>
      <c r="F2" t="s">
        <v>8</v>
      </c>
    </row>
    <row r="3" spans="1:6" x14ac:dyDescent="0.25">
      <c r="A3" t="s">
        <v>9</v>
      </c>
      <c r="B3" t="s">
        <v>7</v>
      </c>
      <c r="C3" s="1">
        <v>45988.636074768518</v>
      </c>
      <c r="D3" s="1">
        <v>45988.636074228394</v>
      </c>
      <c r="E3" s="1">
        <v>45988.636073495371</v>
      </c>
      <c r="F3" t="s">
        <v>8</v>
      </c>
    </row>
    <row r="4" spans="1:6" x14ac:dyDescent="0.25">
      <c r="A4" t="s">
        <v>10</v>
      </c>
      <c r="B4" t="s">
        <v>7</v>
      </c>
      <c r="C4" s="1">
        <v>45988.65021570216</v>
      </c>
      <c r="D4" s="1">
        <v>45589.153009259258</v>
      </c>
      <c r="E4" s="1">
        <v>45988.412284915124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0FE0-A7C1-4014-ABE6-373160BF8EA3}">
  <dimension ref="A1:G101"/>
  <sheetViews>
    <sheetView workbookViewId="0"/>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B670-66CE-40EE-92BB-7F736756B2FC}">
  <dimension ref="A1:Q1001"/>
  <sheetViews>
    <sheetView topLeftCell="I1" workbookViewId="0">
      <selection activeCell="Q2" sqref="Q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4.85546875" bestFit="1" customWidth="1"/>
    <col min="12" max="12" width="19.140625" bestFit="1" customWidth="1"/>
    <col min="13" max="13" width="21.28515625" bestFit="1" customWidth="1"/>
    <col min="14" max="14" width="20.5703125" bestFit="1" customWidth="1"/>
    <col min="15" max="15" width="12.7109375" bestFit="1" customWidth="1"/>
    <col min="16" max="16" width="11.140625" bestFit="1" customWidth="1"/>
    <col min="17" max="17" width="19" bestFit="1" customWidth="1"/>
    <col min="18" max="18" width="21.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1014</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1006</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1011</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1006</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1012</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1006</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1006</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1012</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1012</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1006</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1006</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1006</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1007</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1007</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1007</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1009</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1006</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1006</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1006</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1012</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1012</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1006</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1012</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1012</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1009</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1010</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1011</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1009</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1011</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1006</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1006</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1006</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1006</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1007</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1011</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1012</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1006</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1007</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1006</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1012</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1007</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1009</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1009</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1012</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1012</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1009</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1012</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1006</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1012</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1010</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1007</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1009</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1006</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1006</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1012</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1006</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1007</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1006</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1006</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1012</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1011</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1011</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1007</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1012</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1012</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1006</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1011</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1006</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1009</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1006</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1010</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1009</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1006</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1011</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1012</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1007</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1011</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1012</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1012</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1010</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1006</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1006</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1012</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1007</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1006</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1009</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1007</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1010</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1012</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1011</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1007</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1010</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1007</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1012</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1012</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1012</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1007</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1007</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1006</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1007</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1011</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1009</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1012</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1012</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1011</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1010</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1010</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1012</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1012</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1012</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1007</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1006</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1007</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1007</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1011</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1007</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1011</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1009</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1009</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1007</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1010</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1012</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1011</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1009</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1009</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1009</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1012</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1012</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1009</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1009</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1012</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1012</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1009</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1007</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1010</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1010</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1010</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1012</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1009</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1006</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1012</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1012</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1009</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1007</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1012</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1012</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1007</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1009</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1009</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1009</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1012</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1007</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1007</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1012</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1010</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1009</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1007</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1009</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1009</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1009</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1012</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1010</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1012</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1009</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1012</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1007</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1010</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1010</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1009</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1006</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1012</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1011</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1006</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1010</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1010</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1007</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1012</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1012</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1011</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1012</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1009</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1009</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1009</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1007</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1007</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1010</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1010</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1009</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1007</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1012</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1007</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1012</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1009</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1009</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1010</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1009</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1012</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1007</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1006</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1011</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1009</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1011</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1011</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1011</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1006</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1007</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1012</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1012</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1010</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1011</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1010</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1012</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1009</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1007</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1009</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1012</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1012</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1010</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1010</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1012</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1010</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1006</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1010</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1009</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1009</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1006</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1009</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1012</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1006</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1006</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1007</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1010</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1006</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1010</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1010</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1009</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1006</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1011</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1011</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1006</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1006</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1010</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1006</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1006</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1012</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1012</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1006</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1006</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1011</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1006</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1011</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1012</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1012</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1012</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1007</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1012</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1012</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1012</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1007</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1006</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1010</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1007</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1011</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1007</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1010</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1007</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1009</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1009</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1007</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1006</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1011</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1011</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1011</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1006</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1011</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1011</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1007</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1011</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1011</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1012</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1009</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1012</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1009</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1010</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1006</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1007</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1009</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1012</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1010</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1010</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1007</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1007</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1010</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1009</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1009</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1012</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1009</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1011</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1010</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1011</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1007</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1011</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1012</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1010</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1010</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1009</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1011</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1006</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1012</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1011</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1010</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1007</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1011</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1010</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1007</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1007</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1010</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1011</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1012</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1006</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1011</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1011</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1009</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1011</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1009</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1012</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1010</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1012</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1009</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1007</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1007</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1009</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1012</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1012</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1007</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1007</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1006</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1009</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1011</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1010</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1010</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1006</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1012</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1012</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1012</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1009</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1009</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1012</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1012</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1006</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1011</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1012</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1009</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1006</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1012</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1010</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1012</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1010</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1009</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1012</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1007</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1010</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1012</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1010</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1009</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1006</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1006</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1009</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1009</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1009</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1007</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1009</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1012</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1011</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1012</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1010</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1007</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1012</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1012</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1012</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1009</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1009</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1007</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1012</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1006</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1009</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1009</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1011</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1009</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1010</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1012</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1009</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1012</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1009</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1010</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1006</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1007</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1007</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1007</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1007</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1009</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1012</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1009</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1012</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1012</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1011</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1009</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1011</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1012</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1009</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1009</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1007</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1012</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1012</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1007</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1007</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1009</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1011</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1012</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1009</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1012</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1011</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1011</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1007</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1009</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1009</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1007</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1009</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1009</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1009</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1007</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1009</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1011</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1010</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1011</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1006</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1007</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1011</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1010</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1009</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1007</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1009</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1009</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1012</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1009</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1012</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1006</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1009</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1007</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1009</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1007</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1011</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1009</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1009</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1006</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1009</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1009</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1012</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1009</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1012</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1009</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1011</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1007</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1011</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1006</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1011</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1012</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1007</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1006</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1012</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1007</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1010</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1009</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1009</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1012</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1006</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1007</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1009</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1007</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1007</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1007</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1009</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1006</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1009</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1011</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1011</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1006</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1009</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1007</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1010</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1009</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1010</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1012</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1006</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1009</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1009</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1009</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1012</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1011</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1010</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1007</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1007</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1011</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1009</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1007</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1011</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1009</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1009</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1007</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1007</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1012</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1006</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1009</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1006</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1010</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1009</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1006</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1012</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1009</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1011</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1010</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1006</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1011</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1009</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1010</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1010</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1010</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1006</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1006</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1006</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1010</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1010</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1010</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1011</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1007</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1007</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1006</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1006</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1010</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1011</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1011</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1010</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1009</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1006</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1011</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1010</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1010</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1007</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1007</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1010</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1006</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1011</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1012</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1006</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1006</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1007</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1009</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1007</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1012</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1010</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1012</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1011</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1010</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1006</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1007</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1012</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1010</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1010</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1006</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1010</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1011</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1012</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1010</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1012</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1010</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1006</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1009</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1006</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1010</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1007</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1006</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1009</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1011</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1010</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1009</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1007</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1010</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1011</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1010</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1010</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1010</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1011</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1009</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1006</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1011</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1010</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1012</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1007</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1011</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1011</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1010</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1010</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1012</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1011</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1010</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1007</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1009</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1009</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1011</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1012</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1007</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1012</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1010</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1007</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1009</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1011</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1011</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1011</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1007</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1012</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1009</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1011</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1009</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1007</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1006</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1012</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1007</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1012</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1012</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1011</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1006</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1011</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1006</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1009</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1011</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1011</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1010</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1006</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1009</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1011</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1010</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1009</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1009</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1009</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1012</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1006</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1012</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1012</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1011</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1011</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1009</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1010</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1011</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1006</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1007</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1006</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1012</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1006</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1006</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1009</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1006</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1009</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1007</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1012</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1009</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1010</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1012</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1011</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1007</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1012</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1012</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1006</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1007</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1010</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1007</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1007</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1007</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1007</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1011</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1010</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1011</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1007</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1007</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1007</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1007</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1006</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1011</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1009</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1012</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1006</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1009</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1011</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1009</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1012</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1010</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1010</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1007</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1012</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1010</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1012</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1011</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1007</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1012</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1011</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1011</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1007</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1006</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1009</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1011</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1011</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1012</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1006</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1012</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1006</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1012</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1011</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1012</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1010</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1012</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1012</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1009</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1011</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1012</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1006</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1012</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1011</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1009</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1010</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1009</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1010</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1007</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1011</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1012</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1010</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1010</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1012</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1011</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1006</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1012</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1011</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1006</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1009</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1007</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1011</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1009</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1009</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1012</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1006</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1012</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1011</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1010</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1009</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1009</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1009</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1012</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1011</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1010</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1007</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1011</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1012</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1011</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1006</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1010</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1010</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1011</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1006</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1011</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1006</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1012</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1010</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1012</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1011</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1011</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1010</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1007</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1010</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1011</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1011</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1010</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1011</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1007</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1007</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1011</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1009</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1010</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1007</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1007</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1011</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1009</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1007</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1009</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1010</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1012</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1009</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1012</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1009</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1012</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1006</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1012</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1010</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1009</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1006</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1009</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1007</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1009</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1010</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1012</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1007</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1010</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1011</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1006</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1006</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1010</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1011</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1010</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1009</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1009</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1012</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1007</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1007</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1007</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1009</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1010</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1006</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1011</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1011</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1012</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1006</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1006</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1011</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1011</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1009</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1011</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1012</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1006</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1007</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1006</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1010</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1011</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1007</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1011</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1009</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1006</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1010</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1011</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1010</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1010</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1006</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1012</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1006</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1006</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1007</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1012</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1010</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1007</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1007</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1007</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1007</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1011</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1011</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1012</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1009</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1011</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1006</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1011</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1009</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1010</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1011</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1011</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1007</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1012</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1006</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1012</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1009</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1007</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1010</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1006</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1006</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1012</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1011</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1010</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1011</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1010</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1012</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1011</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1010</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1012</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1012</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E433-1BFB-4614-A54E-DD26A18AF90E}">
  <dimension ref="A1:F71"/>
  <sheetViews>
    <sheetView workbookViewId="0"/>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856</v>
      </c>
      <c r="C1" t="s">
        <v>857</v>
      </c>
      <c r="D1" t="s">
        <v>618</v>
      </c>
      <c r="E1" t="s">
        <v>613</v>
      </c>
      <c r="F1" t="s">
        <v>858</v>
      </c>
    </row>
    <row r="2" spans="1:6" x14ac:dyDescent="0.25">
      <c r="A2">
        <v>1</v>
      </c>
      <c r="B2" t="s">
        <v>859</v>
      </c>
      <c r="C2" t="s">
        <v>860</v>
      </c>
      <c r="D2">
        <v>1935</v>
      </c>
      <c r="E2" t="s">
        <v>699</v>
      </c>
      <c r="F2" t="s">
        <v>861</v>
      </c>
    </row>
    <row r="3" spans="1:6" x14ac:dyDescent="0.25">
      <c r="A3">
        <v>2</v>
      </c>
      <c r="B3" t="s">
        <v>862</v>
      </c>
      <c r="C3" t="s">
        <v>863</v>
      </c>
      <c r="D3">
        <v>441</v>
      </c>
      <c r="E3" t="s">
        <v>620</v>
      </c>
      <c r="F3" t="s">
        <v>864</v>
      </c>
    </row>
    <row r="4" spans="1:6" x14ac:dyDescent="0.25">
      <c r="A4">
        <v>3</v>
      </c>
      <c r="B4" t="s">
        <v>865</v>
      </c>
      <c r="C4" t="s">
        <v>866</v>
      </c>
      <c r="D4">
        <v>1534</v>
      </c>
      <c r="E4" t="s">
        <v>620</v>
      </c>
      <c r="F4" t="s">
        <v>867</v>
      </c>
    </row>
    <row r="5" spans="1:6" x14ac:dyDescent="0.25">
      <c r="A5">
        <v>4</v>
      </c>
      <c r="B5" t="s">
        <v>868</v>
      </c>
      <c r="C5" t="s">
        <v>869</v>
      </c>
      <c r="D5">
        <v>1199</v>
      </c>
      <c r="E5" t="s">
        <v>829</v>
      </c>
      <c r="F5" t="s">
        <v>870</v>
      </c>
    </row>
    <row r="6" spans="1:6" x14ac:dyDescent="0.25">
      <c r="A6">
        <v>5</v>
      </c>
      <c r="B6" t="s">
        <v>871</v>
      </c>
      <c r="C6" t="s">
        <v>866</v>
      </c>
      <c r="D6">
        <v>1444</v>
      </c>
      <c r="E6" t="s">
        <v>699</v>
      </c>
      <c r="F6" t="s">
        <v>872</v>
      </c>
    </row>
    <row r="7" spans="1:6" x14ac:dyDescent="0.25">
      <c r="A7">
        <v>6</v>
      </c>
      <c r="B7" t="s">
        <v>873</v>
      </c>
      <c r="C7" t="s">
        <v>874</v>
      </c>
      <c r="D7">
        <v>1112</v>
      </c>
      <c r="E7" t="s">
        <v>701</v>
      </c>
      <c r="F7" t="s">
        <v>875</v>
      </c>
    </row>
    <row r="8" spans="1:6" x14ac:dyDescent="0.25">
      <c r="A8">
        <v>7</v>
      </c>
      <c r="B8" t="s">
        <v>876</v>
      </c>
      <c r="C8" t="s">
        <v>860</v>
      </c>
      <c r="D8">
        <v>409</v>
      </c>
      <c r="E8" t="s">
        <v>701</v>
      </c>
      <c r="F8" t="s">
        <v>877</v>
      </c>
    </row>
    <row r="9" spans="1:6" x14ac:dyDescent="0.25">
      <c r="A9">
        <v>8</v>
      </c>
      <c r="B9" t="s">
        <v>878</v>
      </c>
      <c r="C9" t="s">
        <v>869</v>
      </c>
      <c r="D9">
        <v>252</v>
      </c>
      <c r="E9" t="s">
        <v>698</v>
      </c>
      <c r="F9" t="s">
        <v>879</v>
      </c>
    </row>
    <row r="10" spans="1:6" x14ac:dyDescent="0.25">
      <c r="A10">
        <v>9</v>
      </c>
      <c r="B10" t="s">
        <v>880</v>
      </c>
      <c r="C10" t="s">
        <v>866</v>
      </c>
      <c r="D10">
        <v>1605</v>
      </c>
      <c r="E10" t="s">
        <v>794</v>
      </c>
      <c r="F10" t="s">
        <v>881</v>
      </c>
    </row>
    <row r="11" spans="1:6" x14ac:dyDescent="0.25">
      <c r="A11">
        <v>10</v>
      </c>
      <c r="B11" t="s">
        <v>882</v>
      </c>
      <c r="C11" t="s">
        <v>874</v>
      </c>
      <c r="D11">
        <v>259</v>
      </c>
      <c r="E11" t="s">
        <v>707</v>
      </c>
      <c r="F11" t="s">
        <v>883</v>
      </c>
    </row>
    <row r="12" spans="1:6" x14ac:dyDescent="0.25">
      <c r="A12">
        <v>11</v>
      </c>
      <c r="B12" t="s">
        <v>884</v>
      </c>
      <c r="C12" t="s">
        <v>885</v>
      </c>
      <c r="D12">
        <v>1096</v>
      </c>
      <c r="E12" t="s">
        <v>620</v>
      </c>
      <c r="F12" t="s">
        <v>886</v>
      </c>
    </row>
    <row r="13" spans="1:6" x14ac:dyDescent="0.25">
      <c r="A13">
        <v>12</v>
      </c>
      <c r="B13" t="s">
        <v>887</v>
      </c>
      <c r="C13" t="s">
        <v>863</v>
      </c>
      <c r="D13">
        <v>672</v>
      </c>
      <c r="E13" t="s">
        <v>698</v>
      </c>
      <c r="F13" t="s">
        <v>888</v>
      </c>
    </row>
    <row r="14" spans="1:6" x14ac:dyDescent="0.25">
      <c r="A14">
        <v>13</v>
      </c>
      <c r="B14" t="s">
        <v>889</v>
      </c>
      <c r="C14" t="s">
        <v>885</v>
      </c>
      <c r="D14">
        <v>1141</v>
      </c>
      <c r="E14" t="s">
        <v>701</v>
      </c>
      <c r="F14" t="s">
        <v>890</v>
      </c>
    </row>
    <row r="15" spans="1:6" x14ac:dyDescent="0.25">
      <c r="A15">
        <v>14</v>
      </c>
      <c r="B15" t="s">
        <v>891</v>
      </c>
      <c r="C15" t="s">
        <v>866</v>
      </c>
      <c r="D15">
        <v>1915</v>
      </c>
      <c r="E15" t="s">
        <v>707</v>
      </c>
      <c r="F15" t="s">
        <v>892</v>
      </c>
    </row>
    <row r="16" spans="1:6" x14ac:dyDescent="0.25">
      <c r="A16">
        <v>15</v>
      </c>
      <c r="B16" t="s">
        <v>893</v>
      </c>
      <c r="C16" t="s">
        <v>794</v>
      </c>
      <c r="D16">
        <v>1488</v>
      </c>
      <c r="E16" t="s">
        <v>698</v>
      </c>
      <c r="F16" t="s">
        <v>894</v>
      </c>
    </row>
    <row r="17" spans="1:6" x14ac:dyDescent="0.25">
      <c r="A17">
        <v>16</v>
      </c>
      <c r="B17" t="s">
        <v>895</v>
      </c>
      <c r="C17" t="s">
        <v>869</v>
      </c>
      <c r="D17">
        <v>1721</v>
      </c>
      <c r="E17" t="s">
        <v>701</v>
      </c>
      <c r="F17" t="s">
        <v>896</v>
      </c>
    </row>
    <row r="18" spans="1:6" x14ac:dyDescent="0.25">
      <c r="A18">
        <v>17</v>
      </c>
      <c r="B18" t="s">
        <v>897</v>
      </c>
      <c r="C18" t="s">
        <v>860</v>
      </c>
      <c r="D18">
        <v>1899</v>
      </c>
      <c r="E18" t="s">
        <v>698</v>
      </c>
      <c r="F18" t="s">
        <v>898</v>
      </c>
    </row>
    <row r="19" spans="1:6" x14ac:dyDescent="0.25">
      <c r="A19">
        <v>18</v>
      </c>
      <c r="B19" t="s">
        <v>899</v>
      </c>
      <c r="C19" t="s">
        <v>863</v>
      </c>
      <c r="D19">
        <v>781</v>
      </c>
      <c r="E19" t="s">
        <v>707</v>
      </c>
      <c r="F19" t="s">
        <v>900</v>
      </c>
    </row>
    <row r="20" spans="1:6" x14ac:dyDescent="0.25">
      <c r="A20">
        <v>19</v>
      </c>
      <c r="B20" t="s">
        <v>901</v>
      </c>
      <c r="C20" t="s">
        <v>885</v>
      </c>
      <c r="D20">
        <v>1234</v>
      </c>
      <c r="E20" t="s">
        <v>620</v>
      </c>
      <c r="F20" t="s">
        <v>902</v>
      </c>
    </row>
    <row r="21" spans="1:6" x14ac:dyDescent="0.25">
      <c r="A21">
        <v>20</v>
      </c>
      <c r="B21" t="s">
        <v>903</v>
      </c>
      <c r="C21" t="s">
        <v>866</v>
      </c>
      <c r="D21">
        <v>697</v>
      </c>
      <c r="E21" t="s">
        <v>698</v>
      </c>
      <c r="F21" t="s">
        <v>904</v>
      </c>
    </row>
    <row r="22" spans="1:6" x14ac:dyDescent="0.25">
      <c r="A22">
        <v>21</v>
      </c>
      <c r="B22" t="s">
        <v>905</v>
      </c>
      <c r="C22" t="s">
        <v>866</v>
      </c>
      <c r="D22">
        <v>1561</v>
      </c>
      <c r="E22" t="s">
        <v>794</v>
      </c>
      <c r="F22" t="s">
        <v>906</v>
      </c>
    </row>
    <row r="23" spans="1:6" x14ac:dyDescent="0.25">
      <c r="A23">
        <v>22</v>
      </c>
      <c r="B23" t="s">
        <v>907</v>
      </c>
      <c r="C23" t="s">
        <v>860</v>
      </c>
      <c r="D23">
        <v>1639</v>
      </c>
      <c r="E23" t="s">
        <v>699</v>
      </c>
      <c r="F23" t="s">
        <v>908</v>
      </c>
    </row>
    <row r="24" spans="1:6" x14ac:dyDescent="0.25">
      <c r="A24">
        <v>23</v>
      </c>
      <c r="B24" t="s">
        <v>909</v>
      </c>
      <c r="C24" t="s">
        <v>869</v>
      </c>
      <c r="D24">
        <v>1098</v>
      </c>
      <c r="E24" t="s">
        <v>698</v>
      </c>
      <c r="F24" t="s">
        <v>910</v>
      </c>
    </row>
    <row r="25" spans="1:6" x14ac:dyDescent="0.25">
      <c r="A25">
        <v>24</v>
      </c>
      <c r="B25" t="s">
        <v>911</v>
      </c>
      <c r="C25" t="s">
        <v>885</v>
      </c>
      <c r="D25">
        <v>535</v>
      </c>
      <c r="E25" t="s">
        <v>707</v>
      </c>
      <c r="F25" t="s">
        <v>912</v>
      </c>
    </row>
    <row r="26" spans="1:6" x14ac:dyDescent="0.25">
      <c r="A26">
        <v>25</v>
      </c>
      <c r="B26" t="s">
        <v>913</v>
      </c>
      <c r="C26" t="s">
        <v>863</v>
      </c>
      <c r="D26">
        <v>1202</v>
      </c>
      <c r="E26" t="s">
        <v>698</v>
      </c>
      <c r="F26" t="s">
        <v>914</v>
      </c>
    </row>
    <row r="27" spans="1:6" x14ac:dyDescent="0.25">
      <c r="A27">
        <v>26</v>
      </c>
      <c r="B27" t="s">
        <v>915</v>
      </c>
      <c r="C27" t="s">
        <v>866</v>
      </c>
      <c r="D27">
        <v>289</v>
      </c>
      <c r="E27" t="s">
        <v>701</v>
      </c>
      <c r="F27" t="s">
        <v>916</v>
      </c>
    </row>
    <row r="28" spans="1:6" x14ac:dyDescent="0.25">
      <c r="A28">
        <v>27</v>
      </c>
      <c r="B28" t="s">
        <v>917</v>
      </c>
      <c r="C28" t="s">
        <v>874</v>
      </c>
      <c r="D28">
        <v>548</v>
      </c>
      <c r="E28" t="s">
        <v>794</v>
      </c>
      <c r="F28" t="s">
        <v>918</v>
      </c>
    </row>
    <row r="29" spans="1:6" x14ac:dyDescent="0.25">
      <c r="A29">
        <v>28</v>
      </c>
      <c r="B29" t="s">
        <v>919</v>
      </c>
      <c r="C29" t="s">
        <v>869</v>
      </c>
      <c r="D29">
        <v>1778</v>
      </c>
      <c r="E29" t="s">
        <v>794</v>
      </c>
      <c r="F29" t="s">
        <v>920</v>
      </c>
    </row>
    <row r="30" spans="1:6" x14ac:dyDescent="0.25">
      <c r="A30">
        <v>29</v>
      </c>
      <c r="B30" t="s">
        <v>921</v>
      </c>
      <c r="C30" t="s">
        <v>866</v>
      </c>
      <c r="D30">
        <v>1252</v>
      </c>
      <c r="E30" t="s">
        <v>701</v>
      </c>
      <c r="F30" t="s">
        <v>922</v>
      </c>
    </row>
    <row r="31" spans="1:6" x14ac:dyDescent="0.25">
      <c r="A31">
        <v>30</v>
      </c>
      <c r="B31" t="s">
        <v>923</v>
      </c>
      <c r="C31" t="s">
        <v>866</v>
      </c>
      <c r="D31">
        <v>751</v>
      </c>
      <c r="E31" t="s">
        <v>698</v>
      </c>
      <c r="F31" t="s">
        <v>924</v>
      </c>
    </row>
    <row r="32" spans="1:6" x14ac:dyDescent="0.25">
      <c r="A32">
        <v>31</v>
      </c>
      <c r="B32" t="s">
        <v>925</v>
      </c>
      <c r="C32" t="s">
        <v>866</v>
      </c>
      <c r="D32">
        <v>1804</v>
      </c>
      <c r="E32" t="s">
        <v>699</v>
      </c>
      <c r="F32" t="s">
        <v>926</v>
      </c>
    </row>
    <row r="33" spans="1:6" x14ac:dyDescent="0.25">
      <c r="A33">
        <v>32</v>
      </c>
      <c r="B33" t="s">
        <v>927</v>
      </c>
      <c r="C33" t="s">
        <v>860</v>
      </c>
      <c r="D33">
        <v>1792</v>
      </c>
      <c r="E33" t="s">
        <v>707</v>
      </c>
      <c r="F33" t="s">
        <v>928</v>
      </c>
    </row>
    <row r="34" spans="1:6" x14ac:dyDescent="0.25">
      <c r="A34">
        <v>33</v>
      </c>
      <c r="B34" t="s">
        <v>929</v>
      </c>
      <c r="C34" t="s">
        <v>866</v>
      </c>
      <c r="D34">
        <v>314</v>
      </c>
      <c r="E34" t="s">
        <v>620</v>
      </c>
      <c r="F34" t="s">
        <v>930</v>
      </c>
    </row>
    <row r="35" spans="1:6" x14ac:dyDescent="0.25">
      <c r="A35">
        <v>34</v>
      </c>
      <c r="B35" t="s">
        <v>931</v>
      </c>
      <c r="C35" t="s">
        <v>860</v>
      </c>
      <c r="D35">
        <v>1335</v>
      </c>
      <c r="E35" t="s">
        <v>794</v>
      </c>
      <c r="F35" t="s">
        <v>932</v>
      </c>
    </row>
    <row r="36" spans="1:6" x14ac:dyDescent="0.25">
      <c r="A36">
        <v>35</v>
      </c>
      <c r="B36" t="s">
        <v>933</v>
      </c>
      <c r="C36" t="s">
        <v>866</v>
      </c>
      <c r="D36">
        <v>1865</v>
      </c>
      <c r="E36" t="s">
        <v>701</v>
      </c>
      <c r="F36" t="s">
        <v>934</v>
      </c>
    </row>
    <row r="37" spans="1:6" x14ac:dyDescent="0.25">
      <c r="A37">
        <v>36</v>
      </c>
      <c r="B37" t="s">
        <v>935</v>
      </c>
      <c r="C37" t="s">
        <v>863</v>
      </c>
      <c r="D37">
        <v>203</v>
      </c>
      <c r="E37" t="s">
        <v>707</v>
      </c>
      <c r="F37" t="s">
        <v>936</v>
      </c>
    </row>
    <row r="38" spans="1:6" x14ac:dyDescent="0.25">
      <c r="A38">
        <v>37</v>
      </c>
      <c r="B38" t="s">
        <v>937</v>
      </c>
      <c r="C38" t="s">
        <v>866</v>
      </c>
      <c r="D38">
        <v>1428</v>
      </c>
      <c r="E38" t="s">
        <v>829</v>
      </c>
      <c r="F38" t="s">
        <v>938</v>
      </c>
    </row>
    <row r="39" spans="1:6" x14ac:dyDescent="0.25">
      <c r="A39">
        <v>38</v>
      </c>
      <c r="B39" t="s">
        <v>939</v>
      </c>
      <c r="C39" t="s">
        <v>874</v>
      </c>
      <c r="D39">
        <v>562</v>
      </c>
      <c r="E39" t="s">
        <v>707</v>
      </c>
      <c r="F39" t="s">
        <v>940</v>
      </c>
    </row>
    <row r="40" spans="1:6" x14ac:dyDescent="0.25">
      <c r="A40">
        <v>39</v>
      </c>
      <c r="B40" t="s">
        <v>941</v>
      </c>
      <c r="C40" t="s">
        <v>885</v>
      </c>
      <c r="D40">
        <v>387</v>
      </c>
      <c r="E40" t="s">
        <v>699</v>
      </c>
      <c r="F40" t="s">
        <v>942</v>
      </c>
    </row>
    <row r="41" spans="1:6" x14ac:dyDescent="0.25">
      <c r="A41">
        <v>40</v>
      </c>
      <c r="B41" t="s">
        <v>943</v>
      </c>
      <c r="C41" t="s">
        <v>869</v>
      </c>
      <c r="D41">
        <v>1923</v>
      </c>
      <c r="E41" t="s">
        <v>698</v>
      </c>
      <c r="F41" t="s">
        <v>944</v>
      </c>
    </row>
    <row r="42" spans="1:6" x14ac:dyDescent="0.25">
      <c r="A42">
        <v>41</v>
      </c>
      <c r="B42" t="s">
        <v>945</v>
      </c>
      <c r="C42" t="s">
        <v>869</v>
      </c>
      <c r="D42">
        <v>1977</v>
      </c>
      <c r="E42" t="s">
        <v>829</v>
      </c>
      <c r="F42" t="s">
        <v>946</v>
      </c>
    </row>
    <row r="43" spans="1:6" x14ac:dyDescent="0.25">
      <c r="A43">
        <v>42</v>
      </c>
      <c r="B43" t="s">
        <v>947</v>
      </c>
      <c r="C43" t="s">
        <v>869</v>
      </c>
      <c r="D43">
        <v>1744</v>
      </c>
      <c r="E43" t="s">
        <v>699</v>
      </c>
      <c r="F43" t="s">
        <v>948</v>
      </c>
    </row>
    <row r="44" spans="1:6" x14ac:dyDescent="0.25">
      <c r="A44">
        <v>43</v>
      </c>
      <c r="B44" t="s">
        <v>949</v>
      </c>
      <c r="C44" t="s">
        <v>794</v>
      </c>
      <c r="D44">
        <v>750</v>
      </c>
      <c r="E44" t="s">
        <v>829</v>
      </c>
      <c r="F44" t="s">
        <v>950</v>
      </c>
    </row>
    <row r="45" spans="1:6" x14ac:dyDescent="0.25">
      <c r="A45">
        <v>44</v>
      </c>
      <c r="B45" t="s">
        <v>951</v>
      </c>
      <c r="C45" t="s">
        <v>863</v>
      </c>
      <c r="D45">
        <v>794</v>
      </c>
      <c r="E45" t="s">
        <v>829</v>
      </c>
      <c r="F45" t="s">
        <v>952</v>
      </c>
    </row>
    <row r="46" spans="1:6" x14ac:dyDescent="0.25">
      <c r="A46">
        <v>45</v>
      </c>
      <c r="B46" t="s">
        <v>953</v>
      </c>
      <c r="C46" t="s">
        <v>794</v>
      </c>
      <c r="D46">
        <v>722</v>
      </c>
      <c r="E46" t="s">
        <v>707</v>
      </c>
      <c r="F46" t="s">
        <v>954</v>
      </c>
    </row>
    <row r="47" spans="1:6" x14ac:dyDescent="0.25">
      <c r="A47">
        <v>46</v>
      </c>
      <c r="B47" t="s">
        <v>955</v>
      </c>
      <c r="C47" t="s">
        <v>874</v>
      </c>
      <c r="D47">
        <v>758</v>
      </c>
      <c r="E47" t="s">
        <v>698</v>
      </c>
      <c r="F47" t="s">
        <v>956</v>
      </c>
    </row>
    <row r="48" spans="1:6" x14ac:dyDescent="0.25">
      <c r="A48">
        <v>47</v>
      </c>
      <c r="B48" t="s">
        <v>957</v>
      </c>
      <c r="C48" t="s">
        <v>866</v>
      </c>
      <c r="D48">
        <v>1638</v>
      </c>
      <c r="E48" t="s">
        <v>701</v>
      </c>
      <c r="F48" t="s">
        <v>958</v>
      </c>
    </row>
    <row r="49" spans="1:6" x14ac:dyDescent="0.25">
      <c r="A49">
        <v>48</v>
      </c>
      <c r="B49" t="s">
        <v>959</v>
      </c>
      <c r="C49" t="s">
        <v>866</v>
      </c>
      <c r="D49">
        <v>433</v>
      </c>
      <c r="E49" t="s">
        <v>829</v>
      </c>
      <c r="F49" t="s">
        <v>960</v>
      </c>
    </row>
    <row r="50" spans="1:6" x14ac:dyDescent="0.25">
      <c r="A50">
        <v>49</v>
      </c>
      <c r="B50" t="s">
        <v>961</v>
      </c>
      <c r="C50" t="s">
        <v>866</v>
      </c>
      <c r="D50">
        <v>903</v>
      </c>
      <c r="E50" t="s">
        <v>620</v>
      </c>
      <c r="F50" t="s">
        <v>962</v>
      </c>
    </row>
    <row r="51" spans="1:6" x14ac:dyDescent="0.25">
      <c r="A51">
        <v>50</v>
      </c>
      <c r="B51" t="s">
        <v>963</v>
      </c>
      <c r="C51" t="s">
        <v>863</v>
      </c>
      <c r="D51">
        <v>422</v>
      </c>
      <c r="E51" t="s">
        <v>701</v>
      </c>
      <c r="F51" t="s">
        <v>964</v>
      </c>
    </row>
    <row r="52" spans="1:6" x14ac:dyDescent="0.25">
      <c r="A52">
        <v>51</v>
      </c>
      <c r="B52" t="s">
        <v>965</v>
      </c>
      <c r="C52" t="s">
        <v>860</v>
      </c>
      <c r="D52">
        <v>1084</v>
      </c>
      <c r="E52" t="s">
        <v>699</v>
      </c>
      <c r="F52" t="s">
        <v>966</v>
      </c>
    </row>
    <row r="53" spans="1:6" x14ac:dyDescent="0.25">
      <c r="A53">
        <v>52</v>
      </c>
      <c r="B53" t="s">
        <v>967</v>
      </c>
      <c r="C53" t="s">
        <v>794</v>
      </c>
      <c r="D53">
        <v>236</v>
      </c>
      <c r="E53" t="s">
        <v>620</v>
      </c>
      <c r="F53" t="s">
        <v>968</v>
      </c>
    </row>
    <row r="54" spans="1:6" x14ac:dyDescent="0.25">
      <c r="A54">
        <v>53</v>
      </c>
      <c r="B54" t="s">
        <v>969</v>
      </c>
      <c r="C54" t="s">
        <v>869</v>
      </c>
      <c r="D54">
        <v>1672</v>
      </c>
      <c r="E54" t="s">
        <v>794</v>
      </c>
      <c r="F54" t="s">
        <v>970</v>
      </c>
    </row>
    <row r="55" spans="1:6" x14ac:dyDescent="0.25">
      <c r="A55">
        <v>54</v>
      </c>
      <c r="B55" t="s">
        <v>971</v>
      </c>
      <c r="C55" t="s">
        <v>874</v>
      </c>
      <c r="D55">
        <v>1236</v>
      </c>
      <c r="E55" t="s">
        <v>698</v>
      </c>
      <c r="F55" t="s">
        <v>972</v>
      </c>
    </row>
    <row r="56" spans="1:6" x14ac:dyDescent="0.25">
      <c r="A56">
        <v>55</v>
      </c>
      <c r="B56" t="s">
        <v>973</v>
      </c>
      <c r="C56" t="s">
        <v>860</v>
      </c>
      <c r="D56">
        <v>1904</v>
      </c>
      <c r="E56" t="s">
        <v>794</v>
      </c>
      <c r="F56" t="s">
        <v>974</v>
      </c>
    </row>
    <row r="57" spans="1:6" x14ac:dyDescent="0.25">
      <c r="A57">
        <v>56</v>
      </c>
      <c r="B57" t="s">
        <v>905</v>
      </c>
      <c r="C57" t="s">
        <v>794</v>
      </c>
      <c r="D57">
        <v>1272</v>
      </c>
      <c r="E57" t="s">
        <v>698</v>
      </c>
      <c r="F57" t="s">
        <v>975</v>
      </c>
    </row>
    <row r="58" spans="1:6" x14ac:dyDescent="0.25">
      <c r="A58">
        <v>57</v>
      </c>
      <c r="B58" t="s">
        <v>976</v>
      </c>
      <c r="C58" t="s">
        <v>866</v>
      </c>
      <c r="D58">
        <v>1582</v>
      </c>
      <c r="E58" t="s">
        <v>707</v>
      </c>
      <c r="F58" t="s">
        <v>977</v>
      </c>
    </row>
    <row r="59" spans="1:6" x14ac:dyDescent="0.25">
      <c r="A59">
        <v>58</v>
      </c>
      <c r="B59" t="s">
        <v>978</v>
      </c>
      <c r="C59" t="s">
        <v>874</v>
      </c>
      <c r="D59">
        <v>1492</v>
      </c>
      <c r="E59" t="s">
        <v>620</v>
      </c>
      <c r="F59" t="s">
        <v>979</v>
      </c>
    </row>
    <row r="60" spans="1:6" x14ac:dyDescent="0.25">
      <c r="A60">
        <v>59</v>
      </c>
      <c r="B60" t="s">
        <v>980</v>
      </c>
      <c r="C60" t="s">
        <v>874</v>
      </c>
      <c r="D60">
        <v>811</v>
      </c>
      <c r="E60" t="s">
        <v>794</v>
      </c>
      <c r="F60" t="s">
        <v>981</v>
      </c>
    </row>
    <row r="61" spans="1:6" x14ac:dyDescent="0.25">
      <c r="A61">
        <v>60</v>
      </c>
      <c r="B61" t="s">
        <v>982</v>
      </c>
      <c r="C61" t="s">
        <v>869</v>
      </c>
      <c r="D61">
        <v>827</v>
      </c>
      <c r="E61" t="s">
        <v>829</v>
      </c>
      <c r="F61" t="s">
        <v>983</v>
      </c>
    </row>
    <row r="62" spans="1:6" x14ac:dyDescent="0.25">
      <c r="A62">
        <v>61</v>
      </c>
      <c r="B62" t="s">
        <v>984</v>
      </c>
      <c r="C62" t="s">
        <v>863</v>
      </c>
      <c r="D62">
        <v>810</v>
      </c>
      <c r="E62" t="s">
        <v>698</v>
      </c>
      <c r="F62" t="s">
        <v>985</v>
      </c>
    </row>
    <row r="63" spans="1:6" x14ac:dyDescent="0.25">
      <c r="A63">
        <v>62</v>
      </c>
      <c r="B63" t="s">
        <v>986</v>
      </c>
      <c r="C63" t="s">
        <v>866</v>
      </c>
      <c r="D63">
        <v>1356</v>
      </c>
      <c r="E63" t="s">
        <v>701</v>
      </c>
      <c r="F63" t="s">
        <v>987</v>
      </c>
    </row>
    <row r="64" spans="1:6" x14ac:dyDescent="0.25">
      <c r="A64">
        <v>63</v>
      </c>
      <c r="B64" t="s">
        <v>988</v>
      </c>
      <c r="C64" t="s">
        <v>869</v>
      </c>
      <c r="D64">
        <v>1348</v>
      </c>
      <c r="E64" t="s">
        <v>699</v>
      </c>
      <c r="F64" t="s">
        <v>989</v>
      </c>
    </row>
    <row r="65" spans="1:6" x14ac:dyDescent="0.25">
      <c r="A65">
        <v>64</v>
      </c>
      <c r="B65" t="s">
        <v>990</v>
      </c>
      <c r="C65" t="s">
        <v>860</v>
      </c>
      <c r="D65">
        <v>1878</v>
      </c>
      <c r="E65" t="s">
        <v>794</v>
      </c>
      <c r="F65" t="s">
        <v>991</v>
      </c>
    </row>
    <row r="66" spans="1:6" x14ac:dyDescent="0.25">
      <c r="A66">
        <v>65</v>
      </c>
      <c r="B66" t="s">
        <v>992</v>
      </c>
      <c r="C66" t="s">
        <v>794</v>
      </c>
      <c r="D66">
        <v>1895</v>
      </c>
      <c r="E66" t="s">
        <v>699</v>
      </c>
      <c r="F66" t="s">
        <v>993</v>
      </c>
    </row>
    <row r="67" spans="1:6" x14ac:dyDescent="0.25">
      <c r="A67">
        <v>66</v>
      </c>
      <c r="B67" t="s">
        <v>994</v>
      </c>
      <c r="C67" t="s">
        <v>866</v>
      </c>
      <c r="D67">
        <v>610</v>
      </c>
      <c r="E67" t="s">
        <v>701</v>
      </c>
      <c r="F67" t="s">
        <v>995</v>
      </c>
    </row>
    <row r="68" spans="1:6" x14ac:dyDescent="0.25">
      <c r="A68">
        <v>67</v>
      </c>
      <c r="B68" t="s">
        <v>996</v>
      </c>
      <c r="C68" t="s">
        <v>794</v>
      </c>
      <c r="D68">
        <v>1374</v>
      </c>
      <c r="E68" t="s">
        <v>698</v>
      </c>
      <c r="F68" t="s">
        <v>997</v>
      </c>
    </row>
    <row r="69" spans="1:6" x14ac:dyDescent="0.25">
      <c r="A69">
        <v>68</v>
      </c>
      <c r="B69" t="s">
        <v>998</v>
      </c>
      <c r="C69" t="s">
        <v>860</v>
      </c>
      <c r="D69">
        <v>597</v>
      </c>
      <c r="E69" t="s">
        <v>620</v>
      </c>
      <c r="F69" t="s">
        <v>999</v>
      </c>
    </row>
    <row r="70" spans="1:6" x14ac:dyDescent="0.25">
      <c r="A70">
        <v>69</v>
      </c>
      <c r="B70" t="s">
        <v>1000</v>
      </c>
      <c r="C70" t="s">
        <v>874</v>
      </c>
      <c r="D70">
        <v>998</v>
      </c>
      <c r="E70" t="s">
        <v>701</v>
      </c>
      <c r="F70" t="s">
        <v>1001</v>
      </c>
    </row>
    <row r="71" spans="1:6" x14ac:dyDescent="0.2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57"/>
  <sheetViews>
    <sheetView workbookViewId="0">
      <selection activeCell="H12" sqref="H12"/>
    </sheetView>
  </sheetViews>
  <sheetFormatPr defaultRowHeight="15" x14ac:dyDescent="0.25"/>
  <cols>
    <col min="1" max="1" width="4.42578125" customWidth="1"/>
    <col min="2" max="2" width="13.140625" bestFit="1" customWidth="1"/>
    <col min="3" max="3" width="15.5703125" bestFit="1" customWidth="1"/>
    <col min="4" max="4" width="5.42578125" customWidth="1"/>
    <col min="5" max="5" width="14.85546875" bestFit="1" customWidth="1"/>
    <col min="6" max="6" width="17.28515625" bestFit="1" customWidth="1"/>
    <col min="7" max="7" width="29.28515625" bestFit="1" customWidth="1"/>
    <col min="8" max="8" width="15.42578125" bestFit="1" customWidth="1"/>
    <col min="9" max="9" width="15.5703125" bestFit="1" customWidth="1"/>
  </cols>
  <sheetData>
    <row r="2" spans="2:9" x14ac:dyDescent="0.25">
      <c r="B2" s="4" t="s">
        <v>1003</v>
      </c>
      <c r="C2" t="s">
        <v>1013</v>
      </c>
      <c r="E2" t="s">
        <v>1017</v>
      </c>
      <c r="F2" t="s">
        <v>1013</v>
      </c>
      <c r="G2" t="s">
        <v>1015</v>
      </c>
      <c r="H2" t="s">
        <v>1016</v>
      </c>
    </row>
    <row r="3" spans="2:9" x14ac:dyDescent="0.25">
      <c r="B3" s="5" t="s">
        <v>842</v>
      </c>
      <c r="C3" s="6">
        <v>95468</v>
      </c>
      <c r="E3">
        <v>1000</v>
      </c>
      <c r="F3" s="8">
        <v>3520984</v>
      </c>
      <c r="G3">
        <v>5.53</v>
      </c>
      <c r="H3" s="7">
        <v>3520.9839999999999</v>
      </c>
    </row>
    <row r="4" spans="2:9" x14ac:dyDescent="0.25">
      <c r="B4" s="5" t="s">
        <v>621</v>
      </c>
      <c r="C4" s="6">
        <v>704509</v>
      </c>
    </row>
    <row r="5" spans="2:9" x14ac:dyDescent="0.25">
      <c r="B5" s="5" t="s">
        <v>747</v>
      </c>
      <c r="C5" s="6">
        <v>511823</v>
      </c>
      <c r="E5" s="4" t="s">
        <v>1003</v>
      </c>
      <c r="F5" t="s">
        <v>1013</v>
      </c>
    </row>
    <row r="6" spans="2:9" x14ac:dyDescent="0.25">
      <c r="B6" s="5" t="s">
        <v>837</v>
      </c>
      <c r="C6" s="6">
        <v>140393</v>
      </c>
      <c r="E6" s="5" t="s">
        <v>891</v>
      </c>
      <c r="F6" s="6">
        <v>97665</v>
      </c>
      <c r="H6">
        <f>CORREL(Order!D:D,Order!M:M)</f>
        <v>3.4781737193018245E-3</v>
      </c>
    </row>
    <row r="7" spans="2:9" x14ac:dyDescent="0.25">
      <c r="B7" s="5" t="s">
        <v>840</v>
      </c>
      <c r="C7" s="6">
        <v>150346</v>
      </c>
      <c r="E7" s="5" t="s">
        <v>973</v>
      </c>
      <c r="F7" s="6">
        <v>106624</v>
      </c>
    </row>
    <row r="8" spans="2:9" x14ac:dyDescent="0.25">
      <c r="B8" s="5" t="s">
        <v>841</v>
      </c>
      <c r="C8" s="6">
        <v>157913</v>
      </c>
      <c r="E8" s="5" t="s">
        <v>957</v>
      </c>
      <c r="F8" s="6">
        <v>101556</v>
      </c>
    </row>
    <row r="9" spans="2:9" x14ac:dyDescent="0.25">
      <c r="B9" s="5" t="s">
        <v>839</v>
      </c>
      <c r="C9" s="6">
        <v>135826</v>
      </c>
      <c r="E9" s="5" t="s">
        <v>859</v>
      </c>
      <c r="F9" s="6">
        <v>121905</v>
      </c>
    </row>
    <row r="10" spans="2:9" x14ac:dyDescent="0.25">
      <c r="B10" s="5" t="s">
        <v>795</v>
      </c>
      <c r="C10" s="6">
        <v>737389</v>
      </c>
      <c r="E10" s="5" t="s">
        <v>905</v>
      </c>
      <c r="F10" s="6">
        <v>114476</v>
      </c>
    </row>
    <row r="11" spans="2:9" x14ac:dyDescent="0.25">
      <c r="B11" s="5" t="s">
        <v>843</v>
      </c>
      <c r="C11" s="6">
        <v>136938</v>
      </c>
      <c r="E11" s="5" t="s">
        <v>1004</v>
      </c>
      <c r="F11" s="6">
        <v>542226</v>
      </c>
      <c r="H11" s="4" t="s">
        <v>1003</v>
      </c>
      <c r="I11" t="s">
        <v>1013</v>
      </c>
    </row>
    <row r="12" spans="2:9" x14ac:dyDescent="0.25">
      <c r="B12" s="5" t="s">
        <v>845</v>
      </c>
      <c r="C12" s="6">
        <v>151619</v>
      </c>
      <c r="H12" s="5" t="s">
        <v>699</v>
      </c>
      <c r="I12" s="6">
        <v>586176</v>
      </c>
    </row>
    <row r="13" spans="2:9" x14ac:dyDescent="0.25">
      <c r="B13" s="5" t="s">
        <v>822</v>
      </c>
      <c r="C13" s="6">
        <v>449169</v>
      </c>
      <c r="H13" s="5" t="s">
        <v>698</v>
      </c>
      <c r="I13" s="6">
        <v>674634</v>
      </c>
    </row>
    <row r="14" spans="2:9" x14ac:dyDescent="0.25">
      <c r="B14" s="5" t="s">
        <v>836</v>
      </c>
      <c r="C14" s="6">
        <v>149591</v>
      </c>
      <c r="E14" s="4" t="s">
        <v>1003</v>
      </c>
      <c r="F14" t="s">
        <v>1017</v>
      </c>
      <c r="H14" s="5" t="s">
        <v>707</v>
      </c>
      <c r="I14" s="6">
        <v>408194</v>
      </c>
    </row>
    <row r="15" spans="2:9" x14ac:dyDescent="0.25">
      <c r="B15" s="5" t="s">
        <v>1004</v>
      </c>
      <c r="C15" s="6">
        <v>3520984</v>
      </c>
      <c r="E15" s="5" t="s">
        <v>218</v>
      </c>
      <c r="F15">
        <v>18</v>
      </c>
      <c r="H15" s="5" t="s">
        <v>829</v>
      </c>
      <c r="I15" s="6">
        <v>313783</v>
      </c>
    </row>
    <row r="16" spans="2:9" x14ac:dyDescent="0.25">
      <c r="E16" s="5" t="s">
        <v>152</v>
      </c>
      <c r="F16">
        <v>21</v>
      </c>
      <c r="H16" s="5" t="s">
        <v>701</v>
      </c>
      <c r="I16" s="6">
        <v>574682</v>
      </c>
    </row>
    <row r="17" spans="2:9" x14ac:dyDescent="0.25">
      <c r="B17" s="4" t="s">
        <v>1003</v>
      </c>
      <c r="C17" t="s">
        <v>1013</v>
      </c>
      <c r="E17" s="5" t="s">
        <v>32</v>
      </c>
      <c r="F17">
        <v>18</v>
      </c>
      <c r="H17" s="5" t="s">
        <v>794</v>
      </c>
      <c r="I17" s="6">
        <v>631585</v>
      </c>
    </row>
    <row r="18" spans="2:9" x14ac:dyDescent="0.25">
      <c r="B18" s="5" t="s">
        <v>874</v>
      </c>
      <c r="C18" s="6">
        <v>329862</v>
      </c>
      <c r="E18" s="5" t="s">
        <v>324</v>
      </c>
      <c r="F18">
        <v>28</v>
      </c>
      <c r="H18" s="5" t="s">
        <v>620</v>
      </c>
      <c r="I18" s="6">
        <v>331930</v>
      </c>
    </row>
    <row r="19" spans="2:9" x14ac:dyDescent="0.25">
      <c r="B19" s="5" t="s">
        <v>866</v>
      </c>
      <c r="C19" s="6">
        <v>1005645</v>
      </c>
      <c r="E19" s="5" t="s">
        <v>230</v>
      </c>
      <c r="F19">
        <v>21</v>
      </c>
      <c r="H19" s="5" t="s">
        <v>1004</v>
      </c>
      <c r="I19" s="6">
        <v>3520984</v>
      </c>
    </row>
    <row r="20" spans="2:9" x14ac:dyDescent="0.25">
      <c r="B20" s="5" t="s">
        <v>885</v>
      </c>
      <c r="C20" s="6">
        <v>201151</v>
      </c>
      <c r="E20" s="5" t="s">
        <v>301</v>
      </c>
      <c r="F20">
        <v>20</v>
      </c>
    </row>
    <row r="21" spans="2:9" x14ac:dyDescent="0.25">
      <c r="B21" s="5" t="s">
        <v>863</v>
      </c>
      <c r="C21" s="6">
        <v>212281</v>
      </c>
      <c r="E21" s="5" t="s">
        <v>188</v>
      </c>
      <c r="F21">
        <v>24</v>
      </c>
      <c r="H21" s="4" t="s">
        <v>1003</v>
      </c>
      <c r="I21" t="s">
        <v>1013</v>
      </c>
    </row>
    <row r="22" spans="2:9" x14ac:dyDescent="0.25">
      <c r="B22" s="5" t="s">
        <v>794</v>
      </c>
      <c r="C22" s="6">
        <v>297372</v>
      </c>
      <c r="E22" s="5" t="s">
        <v>307</v>
      </c>
      <c r="F22">
        <v>29</v>
      </c>
      <c r="H22" s="5" t="s">
        <v>1011</v>
      </c>
      <c r="I22" s="6">
        <v>475447</v>
      </c>
    </row>
    <row r="23" spans="2:9" x14ac:dyDescent="0.25">
      <c r="B23" s="5" t="s">
        <v>860</v>
      </c>
      <c r="C23" s="6">
        <v>740831</v>
      </c>
      <c r="E23" s="5" t="s">
        <v>158</v>
      </c>
      <c r="F23">
        <v>27</v>
      </c>
      <c r="H23" s="5" t="s">
        <v>1007</v>
      </c>
      <c r="I23" s="6">
        <v>461670</v>
      </c>
    </row>
    <row r="24" spans="2:9" x14ac:dyDescent="0.25">
      <c r="B24" s="5" t="s">
        <v>869</v>
      </c>
      <c r="C24" s="6">
        <v>733842</v>
      </c>
      <c r="E24" s="5" t="s">
        <v>397</v>
      </c>
      <c r="F24">
        <v>19</v>
      </c>
      <c r="H24" s="5" t="s">
        <v>1006</v>
      </c>
      <c r="I24" s="6">
        <v>444960</v>
      </c>
    </row>
    <row r="25" spans="2:9" x14ac:dyDescent="0.25">
      <c r="B25" s="5" t="s">
        <v>1004</v>
      </c>
      <c r="C25" s="6">
        <v>3520984</v>
      </c>
      <c r="E25" s="5" t="s">
        <v>1004</v>
      </c>
      <c r="F25">
        <v>225</v>
      </c>
      <c r="H25" s="5" t="s">
        <v>1012</v>
      </c>
      <c r="I25" s="6">
        <v>628138</v>
      </c>
    </row>
    <row r="26" spans="2:9" x14ac:dyDescent="0.25">
      <c r="H26" s="5" t="s">
        <v>1010</v>
      </c>
      <c r="I26" s="6">
        <v>418354</v>
      </c>
    </row>
    <row r="27" spans="2:9" x14ac:dyDescent="0.25">
      <c r="H27" s="5" t="s">
        <v>1009</v>
      </c>
      <c r="I27" s="6">
        <v>677223</v>
      </c>
    </row>
    <row r="28" spans="2:9" x14ac:dyDescent="0.25">
      <c r="H28" s="5" t="s">
        <v>1008</v>
      </c>
      <c r="I28" s="6">
        <v>415192</v>
      </c>
    </row>
    <row r="29" spans="2:9" x14ac:dyDescent="0.25">
      <c r="H29" s="5" t="s">
        <v>1004</v>
      </c>
      <c r="I29" s="6">
        <v>3520984</v>
      </c>
    </row>
    <row r="32" spans="2:9" x14ac:dyDescent="0.25">
      <c r="H32" s="4" t="s">
        <v>1003</v>
      </c>
      <c r="I32" t="s">
        <v>1013</v>
      </c>
    </row>
    <row r="33" spans="8:9" x14ac:dyDescent="0.25">
      <c r="H33" s="5">
        <v>0</v>
      </c>
      <c r="I33" s="6">
        <v>99400</v>
      </c>
    </row>
    <row r="34" spans="8:9" x14ac:dyDescent="0.25">
      <c r="H34" s="5">
        <v>1</v>
      </c>
      <c r="I34" s="6">
        <v>129309</v>
      </c>
    </row>
    <row r="35" spans="8:9" x14ac:dyDescent="0.25">
      <c r="H35" s="5">
        <v>2</v>
      </c>
      <c r="I35" s="6">
        <v>152940</v>
      </c>
    </row>
    <row r="36" spans="8:9" x14ac:dyDescent="0.25">
      <c r="H36" s="5">
        <v>3</v>
      </c>
      <c r="I36" s="6">
        <v>146810</v>
      </c>
    </row>
    <row r="37" spans="8:9" x14ac:dyDescent="0.25">
      <c r="H37" s="5">
        <v>4</v>
      </c>
      <c r="I37" s="6">
        <v>114700</v>
      </c>
    </row>
    <row r="38" spans="8:9" x14ac:dyDescent="0.25">
      <c r="H38" s="5">
        <v>5</v>
      </c>
      <c r="I38" s="6">
        <v>156198</v>
      </c>
    </row>
    <row r="39" spans="8:9" x14ac:dyDescent="0.25">
      <c r="H39" s="5">
        <v>6</v>
      </c>
      <c r="I39" s="6">
        <v>177211</v>
      </c>
    </row>
    <row r="40" spans="8:9" x14ac:dyDescent="0.25">
      <c r="H40" s="5">
        <v>7</v>
      </c>
      <c r="I40" s="6">
        <v>147749</v>
      </c>
    </row>
    <row r="41" spans="8:9" x14ac:dyDescent="0.25">
      <c r="H41" s="5">
        <v>8</v>
      </c>
      <c r="I41" s="6">
        <v>133617</v>
      </c>
    </row>
    <row r="42" spans="8:9" x14ac:dyDescent="0.25">
      <c r="H42" s="5">
        <v>9</v>
      </c>
      <c r="I42" s="6">
        <v>153678</v>
      </c>
    </row>
    <row r="43" spans="8:9" x14ac:dyDescent="0.25">
      <c r="H43" s="5">
        <v>10</v>
      </c>
      <c r="I43" s="6">
        <v>94985</v>
      </c>
    </row>
    <row r="44" spans="8:9" x14ac:dyDescent="0.25">
      <c r="H44" s="5">
        <v>11</v>
      </c>
      <c r="I44" s="6">
        <v>130287</v>
      </c>
    </row>
    <row r="45" spans="8:9" x14ac:dyDescent="0.25">
      <c r="H45" s="5">
        <v>12</v>
      </c>
      <c r="I45" s="6">
        <v>162394</v>
      </c>
    </row>
    <row r="46" spans="8:9" x14ac:dyDescent="0.25">
      <c r="H46" s="5">
        <v>13</v>
      </c>
      <c r="I46" s="6">
        <v>152340</v>
      </c>
    </row>
    <row r="47" spans="8:9" x14ac:dyDescent="0.25">
      <c r="H47" s="5">
        <v>14</v>
      </c>
      <c r="I47" s="6">
        <v>126406</v>
      </c>
    </row>
    <row r="48" spans="8:9" x14ac:dyDescent="0.25">
      <c r="H48" s="5">
        <v>15</v>
      </c>
      <c r="I48" s="6">
        <v>163586</v>
      </c>
    </row>
    <row r="49" spans="8:9" x14ac:dyDescent="0.25">
      <c r="H49" s="5">
        <v>16</v>
      </c>
      <c r="I49" s="6">
        <v>128797</v>
      </c>
    </row>
    <row r="50" spans="8:9" x14ac:dyDescent="0.25">
      <c r="H50" s="5">
        <v>17</v>
      </c>
      <c r="I50" s="6">
        <v>155373</v>
      </c>
    </row>
    <row r="51" spans="8:9" x14ac:dyDescent="0.25">
      <c r="H51" s="5">
        <v>18</v>
      </c>
      <c r="I51" s="6">
        <v>173118</v>
      </c>
    </row>
    <row r="52" spans="8:9" x14ac:dyDescent="0.25">
      <c r="H52" s="5">
        <v>19</v>
      </c>
      <c r="I52" s="6">
        <v>185771</v>
      </c>
    </row>
    <row r="53" spans="8:9" x14ac:dyDescent="0.25">
      <c r="H53" s="5">
        <v>20</v>
      </c>
      <c r="I53" s="6">
        <v>186426</v>
      </c>
    </row>
    <row r="54" spans="8:9" x14ac:dyDescent="0.25">
      <c r="H54" s="5">
        <v>21</v>
      </c>
      <c r="I54" s="6">
        <v>155466</v>
      </c>
    </row>
    <row r="55" spans="8:9" x14ac:dyDescent="0.25">
      <c r="H55" s="5">
        <v>22</v>
      </c>
      <c r="I55" s="6">
        <v>125912</v>
      </c>
    </row>
    <row r="56" spans="8:9" x14ac:dyDescent="0.25">
      <c r="H56" s="5">
        <v>23</v>
      </c>
      <c r="I56" s="6">
        <v>168511</v>
      </c>
    </row>
    <row r="57" spans="8:9" x14ac:dyDescent="0.25">
      <c r="H57" s="5" t="s">
        <v>1004</v>
      </c>
      <c r="I57" s="6">
        <v>3520984</v>
      </c>
    </row>
  </sheetData>
  <pageMargins left="0.7" right="0.7" top="0.75" bottom="0.75" header="0.3" footer="0.3"/>
  <pageSetup orientation="portrait" horizontalDpi="0" verticalDpi="0" r:id="rId9"/>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68DF-A130-4793-828C-74EB32C956F4}">
  <dimension ref="C2"/>
  <sheetViews>
    <sheetView tabSelected="1" workbookViewId="0">
      <selection sqref="A1:XFD1048576"/>
    </sheetView>
  </sheetViews>
  <sheetFormatPr defaultRowHeight="15" x14ac:dyDescent="0.25"/>
  <cols>
    <col min="1" max="16384" width="9.140625" style="9"/>
  </cols>
  <sheetData>
    <row r="2" spans="3:3" x14ac:dyDescent="0.25">
      <c r="C2" s="9"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46DF734-8996-4310-AA15-9841613CC06F}">
  <ds:schemaRefs/>
</ds:datastoreItem>
</file>

<file path=customXml/itemProps2.xml><?xml version="1.0" encoding="utf-8"?>
<ds:datastoreItem xmlns:ds="http://schemas.openxmlformats.org/officeDocument/2006/customXml" ds:itemID="{189618D0-BFAF-4A58-B7E1-98AF4CBD7D9E}">
  <ds:schemaRefs/>
</ds:datastoreItem>
</file>

<file path=customXml/itemProps3.xml><?xml version="1.0" encoding="utf-8"?>
<ds:datastoreItem xmlns:ds="http://schemas.openxmlformats.org/officeDocument/2006/customXml" ds:itemID="{A7240150-7DB5-475B-8662-500E3509D262}">
  <ds:schemaRefs/>
</ds:datastoreItem>
</file>

<file path=customXml/itemProps4.xml><?xml version="1.0" encoding="utf-8"?>
<ds:datastoreItem xmlns:ds="http://schemas.openxmlformats.org/officeDocument/2006/customXml" ds:itemID="{862BD56F-840B-4FAB-9B51-475D7375BC4A}">
  <ds:schemaRefs/>
</ds:datastoreItem>
</file>

<file path=customXml/itemProps5.xml><?xml version="1.0" encoding="utf-8"?>
<ds:datastoreItem xmlns:ds="http://schemas.openxmlformats.org/officeDocument/2006/customXml" ds:itemID="{185CB07C-775D-447F-B493-F84F8771EBD8}">
  <ds:schemaRefs/>
</ds:datastoreItem>
</file>

<file path=customXml/itemProps6.xml><?xml version="1.0" encoding="utf-8"?>
<ds:datastoreItem xmlns:ds="http://schemas.openxmlformats.org/officeDocument/2006/customXml" ds:itemID="{ACA3D17E-11D7-4AFA-96E7-5BEB1B4A8CFB}">
  <ds:schemaRefs/>
</ds:datastoreItem>
</file>

<file path=customXml/itemProps7.xml><?xml version="1.0" encoding="utf-8"?>
<ds:datastoreItem xmlns:ds="http://schemas.openxmlformats.org/officeDocument/2006/customXml" ds:itemID="{B342494F-E2E2-418A-8AED-2F6914B5076D}">
  <ds:schemaRefs/>
</ds:datastoreItem>
</file>

<file path=customXml/itemProps8.xml><?xml version="1.0" encoding="utf-8"?>
<ds:datastoreItem xmlns:ds="http://schemas.openxmlformats.org/officeDocument/2006/customXml" ds:itemID="{3D04DBB6-2E52-493F-A0D8-82AA8F1CBDDC}">
  <ds:schemaRefs/>
</ds:datastoreItem>
</file>

<file path=customXml/itemProps9.xml><?xml version="1.0" encoding="utf-8"?>
<ds:datastoreItem xmlns:ds="http://schemas.openxmlformats.org/officeDocument/2006/customXml" ds:itemID="{8145F7A4-B7E6-4F34-903E-28CC576D8B9A}">
  <ds:schemaRefs>
    <ds:schemaRef ds:uri="http://schemas.microsoft.com/DataMashup"/>
  </ds:schemaRefs>
</ds:datastoreItem>
</file>

<file path=customXml/itemProps10.xml><?xml version="1.0" encoding="utf-8"?>
<ds:datastoreItem xmlns:ds="http://schemas.openxmlformats.org/officeDocument/2006/customXml" ds:itemID="{94D59FB4-CCDA-4933-82ED-699C01CC1C29}">
  <ds:schemaRefs/>
</ds:datastoreItem>
</file>

<file path=customXml/itemProps11.xml><?xml version="1.0" encoding="utf-8"?>
<ds:datastoreItem xmlns:ds="http://schemas.openxmlformats.org/officeDocument/2006/customXml" ds:itemID="{22506C8C-6DB8-4EF7-A9F4-47B37C1670C0}">
  <ds:schemaRefs/>
</ds:datastoreItem>
</file>

<file path=customXml/itemProps12.xml><?xml version="1.0" encoding="utf-8"?>
<ds:datastoreItem xmlns:ds="http://schemas.openxmlformats.org/officeDocument/2006/customXml" ds:itemID="{927A7F4D-1F5A-4607-85AE-CE04DAD048FD}">
  <ds:schemaRefs/>
</ds:datastoreItem>
</file>

<file path=customXml/itemProps13.xml><?xml version="1.0" encoding="utf-8"?>
<ds:datastoreItem xmlns:ds="http://schemas.openxmlformats.org/officeDocument/2006/customXml" ds:itemID="{DA03E96A-163E-4A47-BD61-A17EB72E5FF9}">
  <ds:schemaRefs/>
</ds:datastoreItem>
</file>

<file path=customXml/itemProps14.xml><?xml version="1.0" encoding="utf-8"?>
<ds:datastoreItem xmlns:ds="http://schemas.openxmlformats.org/officeDocument/2006/customXml" ds:itemID="{4B5207DB-6034-4B7A-9725-54A573F95E4C}">
  <ds:schemaRefs/>
</ds:datastoreItem>
</file>

<file path=customXml/itemProps15.xml><?xml version="1.0" encoding="utf-8"?>
<ds:datastoreItem xmlns:ds="http://schemas.openxmlformats.org/officeDocument/2006/customXml" ds:itemID="{A4E3DBD9-D17B-4364-906C-250EE856AA05}">
  <ds:schemaRefs/>
</ds:datastoreItem>
</file>

<file path=customXml/itemProps16.xml><?xml version="1.0" encoding="utf-8"?>
<ds:datastoreItem xmlns:ds="http://schemas.openxmlformats.org/officeDocument/2006/customXml" ds:itemID="{38A3AF67-322B-4992-824B-A6C195335AA9}">
  <ds:schemaRefs/>
</ds:datastoreItem>
</file>

<file path=customXml/itemProps17.xml><?xml version="1.0" encoding="utf-8"?>
<ds:datastoreItem xmlns:ds="http://schemas.openxmlformats.org/officeDocument/2006/customXml" ds:itemID="{FAA129B8-BFED-4B24-A05D-68B84093BC9A}">
  <ds:schemaRefs/>
</ds:datastoreItem>
</file>

<file path=customXml/itemProps18.xml><?xml version="1.0" encoding="utf-8"?>
<ds:datastoreItem xmlns:ds="http://schemas.openxmlformats.org/officeDocument/2006/customXml" ds:itemID="{56CA72F6-5F0E-493F-866A-6A4325734BD7}">
  <ds:schemaRefs/>
</ds:datastoreItem>
</file>

<file path=customXml/itemProps19.xml><?xml version="1.0" encoding="utf-8"?>
<ds:datastoreItem xmlns:ds="http://schemas.openxmlformats.org/officeDocument/2006/customXml" ds:itemID="{B25E2E36-56BB-41C4-93CB-F11B1B9807E5}">
  <ds:schemaRefs/>
</ds:datastoreItem>
</file>

<file path=customXml/itemProps20.xml><?xml version="1.0" encoding="utf-8"?>
<ds:datastoreItem xmlns:ds="http://schemas.openxmlformats.org/officeDocument/2006/customXml" ds:itemID="{FE43E5EA-D77E-4849-AAB3-4152C3EC91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vt:lpstr>
      <vt:lpstr>Order</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pc</cp:lastModifiedBy>
  <dcterms:created xsi:type="dcterms:W3CDTF">2015-06-05T18:17:20Z</dcterms:created>
  <dcterms:modified xsi:type="dcterms:W3CDTF">2025-11-27T13:12:01Z</dcterms:modified>
</cp:coreProperties>
</file>